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57fe51e3fd944c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记录\"/>
    </mc:Choice>
  </mc:AlternateContent>
  <bookViews>
    <workbookView xWindow="0" yWindow="0" windowWidth="21765" windowHeight="7995" tabRatio="819" firstSheet="1" activeTab="4"/>
  </bookViews>
  <sheets>
    <sheet name="Cover" sheetId="14"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 name="DSI PHY 4.0.0 DPHY timing" sheetId="16" r:id="rId8"/>
    <sheet name="SDM439 DPHY timing" sheetId="17" r:id="rId9"/>
    <sheet name="T_HS_RQST" sheetId="18" state="hidden" r:id="rId10"/>
    <sheet name="GTP_clocklanes" sheetId="19" state="hidden" r:id="rId11"/>
    <sheet name="GTP_datalanes" sheetId="20" state="hidden" r:id="rId12"/>
    <sheet name="PREPARE_clocklanes" sheetId="21" state="hidden" r:id="rId13"/>
    <sheet name="PREPARE_datalanes" sheetId="22" state="hidden" r:id="rId14"/>
  </sheets>
  <definedNames>
    <definedName name="DATA_RATE">'SDM439 DPHY timing'!$B$3</definedName>
    <definedName name="DELTA">'SDM439 DPHY timing'!$B$75</definedName>
    <definedName name="gtp_extension_clklane">'SDM439 DPHY timing'!$E$14</definedName>
    <definedName name="gtp_extension_clklane_factor">'SDM439 DPHY timing'!$B$80</definedName>
    <definedName name="gtp_extension_datalane">'SDM439 DPHY timing'!$E$18</definedName>
    <definedName name="gtp_extension_datalanes_factor">'SDM439 DPHY timing'!$B$81</definedName>
    <definedName name="HSTX_POFF_TIME">'SDM439 DPHY timing'!$B$78</definedName>
    <definedName name="HSTX_TEN_DELAY">'SDM439 DPHY timing'!$B$77</definedName>
    <definedName name="hstxhstrail_datalanes">'SDM439 DPHY timing'!$E$20</definedName>
    <definedName name="hstxthsclkpost_clklane">'SDM439 DPHY timing'!$E$30</definedName>
    <definedName name="hstxthsexit_clklane">'SDM439 DPHY timing'!$E$23</definedName>
    <definedName name="hstxthsexit_datalanes">'SDM439 DPHY timing'!$E$22</definedName>
    <definedName name="hstxthsprpr_clklane">'SDM439 DPHY timing'!$E$13</definedName>
    <definedName name="hstxthsprpr_datalanes">'SDM439 DPHY timing'!$E$17</definedName>
    <definedName name="hstxthsrqst_clklane">'SDM439 DPHY timing'!$E$32</definedName>
    <definedName name="hstxthsrqst_datalanes">'SDM439 DPHY timing'!$E$21</definedName>
    <definedName name="hstxthstrail_clklane">'SDM439 DPHY timing'!$E$16</definedName>
    <definedName name="hstxthszero_clklane">'SDM439 DPHY timing'!$E$15</definedName>
    <definedName name="hstxthszero_datalanes">'SDM439 DPHY timing'!$E$19</definedName>
    <definedName name="LPRX_IO_DELAY_RISE">'SDM439 DPHY timing'!$B$82</definedName>
    <definedName name="LPTX_IO_FALL_DELAY">'SDM439 DPHY timing'!$B$79</definedName>
    <definedName name="LPTX_IO_RISE_FALL_DELTA">'SDM439 DPHY timing'!$B$83</definedName>
    <definedName name="PHI">'SDM439 DPHY timing'!$B$74</definedName>
    <definedName name="PHY_MAJOR_VERSION">'DSI and MDP registers'!$C$25</definedName>
    <definedName name="_xlnm.Print_Area" localSheetId="0">Cover!$A$1:$A$14</definedName>
    <definedName name="_xlnm.Print_Area" localSheetId="3">'DSI and MDP registers'!$B$1:$J$144</definedName>
    <definedName name="_xlnm.Print_Area" localSheetId="5">'DSI PHY 2.0.0 timing setting'!$A$1:$K$70</definedName>
    <definedName name="_xlnm.Print_Area" localSheetId="6">'DSI PHY 3.0.0 DPHY timing'!$A$1:$J$65</definedName>
    <definedName name="_xlnm.Print_Area" localSheetId="4">'DSI PHY timing setting'!$A$1:$K$52</definedName>
    <definedName name="_xlnm.Print_Area" localSheetId="1">'Rev. History'!$A$1:$E$25</definedName>
    <definedName name="_xlnm.Print_Area" localSheetId="2">'User Instructions'!$A$1:$AC$73</definedName>
    <definedName name="strQCTDocumentName" localSheetId="6">#REF!</definedName>
    <definedName name="strQCTDocumentName">#REF!</definedName>
    <definedName name="T_CLK_POST">'SDM439 DPHY timing'!$D$30</definedName>
    <definedName name="T_CLK_TRAIL">'SDM439 DPHY timing'!$D$16</definedName>
    <definedName name="T_CLK_ZERO">'SDM439 DPHY timing'!$D$15</definedName>
    <definedName name="T_HS_EXIT">'SDM439 DPHY timing'!$D$22</definedName>
    <definedName name="T_HS_RQST">'SDM439 DPHY timing'!$D$32</definedName>
    <definedName name="T_HS_TRAIL">'SDM439 DPHY timing'!$D$20</definedName>
    <definedName name="T_HS_ZERO">'SDM439 DPHY timing'!$D$19</definedName>
    <definedName name="TLPX_EXT">'SDM439 DPHY timing'!$B$8</definedName>
    <definedName name="TLPX_SLAVE">'SDM439 DPHY timing'!$B$7</definedName>
    <definedName name="TLPX_SNPS">'SDM439 DPHY timing'!$B$7</definedName>
    <definedName name="ttago">'SDM439 DPHY timing'!$E$24</definedName>
    <definedName name="ttasure">'SDM439 DPHY timing'!$E$25</definedName>
    <definedName name="tx_byteclk_hs">'SDM439 DPHY timing'!$B$73</definedName>
    <definedName name="TXBYTECLKHS">'SDM439 DPHY timing'!$B$73</definedName>
    <definedName name="UI">'SDM439 DPHY timing'!$B$6</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 name="WADDR_minus_RADDR">'SDM439 DPHY timing'!$B$76</definedName>
    <definedName name="Y_N">T_HS_RQST!$S$2:$S$3</definedName>
  </definedNames>
  <calcPr calcId="152511"/>
</workbook>
</file>

<file path=xl/calcChain.xml><?xml version="1.0" encoding="utf-8"?>
<calcChain xmlns="http://schemas.openxmlformats.org/spreadsheetml/2006/main">
  <c r="G11" i="7" l="1"/>
  <c r="G10" i="7"/>
  <c r="C25" i="6" l="1"/>
  <c r="C100" i="6" l="1"/>
  <c r="B101" i="6"/>
  <c r="B102" i="6"/>
  <c r="C101" i="6"/>
  <c r="B92" i="6"/>
  <c r="C92" i="6"/>
  <c r="C95" i="6"/>
  <c r="B93" i="6"/>
  <c r="C93" i="6"/>
  <c r="B95" i="6"/>
  <c r="B94" i="6"/>
  <c r="B81" i="6"/>
  <c r="B85" i="6"/>
  <c r="B89" i="6"/>
  <c r="B97" i="6"/>
  <c r="C80" i="6"/>
  <c r="B82" i="6"/>
  <c r="B90" i="6"/>
  <c r="B98" i="6"/>
  <c r="C97" i="6"/>
  <c r="B87" i="6"/>
  <c r="B91" i="6"/>
  <c r="B99" i="6"/>
  <c r="C98" i="6"/>
  <c r="B86" i="6"/>
  <c r="B83" i="6"/>
  <c r="B80" i="6"/>
  <c r="B84" i="6"/>
  <c r="B88" i="6"/>
  <c r="B96" i="6"/>
  <c r="B100" i="6"/>
  <c r="C99" i="6"/>
  <c r="B4" i="17"/>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M32" i="22"/>
  <c r="M31" i="22"/>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64" i="20"/>
  <c r="M63" i="20"/>
  <c r="M62" i="20"/>
  <c r="M61" i="20"/>
  <c r="M60" i="20"/>
  <c r="M59"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M33" i="20"/>
  <c r="M32" i="20"/>
  <c r="M31" i="20"/>
  <c r="M30" i="20"/>
  <c r="M29" i="20"/>
  <c r="M28" i="20"/>
  <c r="M27" i="20"/>
  <c r="M26" i="20"/>
  <c r="M25" i="20"/>
  <c r="M24" i="20"/>
  <c r="M23" i="20"/>
  <c r="M22" i="20"/>
  <c r="M21" i="20"/>
  <c r="M20" i="20"/>
  <c r="M19" i="20"/>
  <c r="M18" i="20"/>
  <c r="M17" i="20"/>
  <c r="M16" i="20"/>
  <c r="M15" i="20"/>
  <c r="M14" i="20"/>
  <c r="M13" i="20"/>
  <c r="M12" i="20"/>
  <c r="M11" i="20"/>
  <c r="M10" i="20"/>
  <c r="M9" i="20"/>
  <c r="M8" i="20"/>
  <c r="M7" i="20"/>
  <c r="M6" i="20"/>
  <c r="M5" i="20"/>
  <c r="M4" i="20"/>
  <c r="M3" i="20"/>
  <c r="M2" i="20"/>
  <c r="M64" i="19"/>
  <c r="M63" i="19"/>
  <c r="M62" i="19"/>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M2" i="19"/>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B52" i="17"/>
  <c r="C91" i="6" s="1"/>
  <c r="B51" i="17"/>
  <c r="D32" i="17"/>
  <c r="D21" i="17" s="1"/>
  <c r="G27" i="17"/>
  <c r="C27" i="17"/>
  <c r="B27" i="17"/>
  <c r="G26" i="17"/>
  <c r="I26" i="17" s="1"/>
  <c r="C26" i="17"/>
  <c r="B26" i="17"/>
  <c r="G25" i="17"/>
  <c r="I25" i="17" s="1"/>
  <c r="C25" i="17"/>
  <c r="B25" i="17"/>
  <c r="D25" i="17" s="1"/>
  <c r="G24" i="17"/>
  <c r="C24" i="17"/>
  <c r="B24" i="17"/>
  <c r="D24" i="17" s="1"/>
  <c r="D23" i="17"/>
  <c r="D22" i="17"/>
  <c r="D13" i="17"/>
  <c r="H27" i="17" l="1"/>
  <c r="H26" i="17"/>
  <c r="D26" i="17"/>
  <c r="H24" i="17"/>
  <c r="H25" i="17"/>
  <c r="D27" i="17"/>
  <c r="B77" i="6" l="1"/>
  <c r="B56" i="16" l="1"/>
  <c r="B55" i="16"/>
  <c r="B54" i="16"/>
  <c r="B51" i="16"/>
  <c r="B48" i="16" l="1"/>
  <c r="B47" i="16"/>
  <c r="B4" i="16"/>
  <c r="B6" i="16" l="1"/>
  <c r="B22" i="16" s="1"/>
  <c r="F22" i="16" s="1"/>
  <c r="H20" i="16"/>
  <c r="B75" i="6"/>
  <c r="B76" i="6"/>
  <c r="C74" i="6"/>
  <c r="B74" i="6"/>
  <c r="C20" i="16"/>
  <c r="H22" i="16"/>
  <c r="H21" i="16"/>
  <c r="B20" i="16" l="1"/>
  <c r="F20" i="16" s="1"/>
  <c r="C21" i="16"/>
  <c r="B21" i="16"/>
  <c r="F21" i="16" s="1"/>
  <c r="C22" i="16"/>
  <c r="C7" i="6"/>
  <c r="B4" i="15" l="1"/>
  <c r="H20" i="15" s="1"/>
  <c r="B47" i="15" l="1"/>
  <c r="B46" i="15"/>
  <c r="H22" i="15"/>
  <c r="B6" i="15" l="1"/>
  <c r="H21" i="15"/>
  <c r="C22" i="15" l="1"/>
  <c r="C21" i="15"/>
  <c r="C20" i="15"/>
  <c r="B22" i="15"/>
  <c r="F22" i="15" s="1"/>
  <c r="B21" i="15"/>
  <c r="F21" i="15" s="1"/>
  <c r="B20" i="15"/>
  <c r="F20" i="15" s="1"/>
  <c r="A54" i="9" l="1"/>
  <c r="A52" i="9" l="1"/>
  <c r="B73" i="6" l="1"/>
  <c r="B49" i="9" l="1"/>
  <c r="B50" i="9"/>
  <c r="B4" i="9"/>
  <c r="H22" i="9" l="1"/>
  <c r="H20" i="9"/>
  <c r="B6" i="9"/>
  <c r="H21" i="9"/>
  <c r="B72" i="6"/>
  <c r="C22" i="9" l="1"/>
  <c r="C21" i="9"/>
  <c r="C20" i="9"/>
  <c r="B22" i="9"/>
  <c r="F22" i="9" s="1"/>
  <c r="B21" i="9"/>
  <c r="F21" i="9" s="1"/>
  <c r="B20" i="9"/>
  <c r="F20" i="9" s="1"/>
  <c r="C6" i="6" l="1"/>
  <c r="B39" i="7" l="1"/>
  <c r="B38" i="7"/>
  <c r="B32" i="7"/>
  <c r="B4" i="7"/>
  <c r="H20" i="7" s="1"/>
  <c r="C13" i="6"/>
  <c r="C18" i="6"/>
  <c r="C34" i="6"/>
  <c r="C35" i="6"/>
  <c r="C45" i="6"/>
  <c r="C46" i="6"/>
  <c r="C47" i="6"/>
  <c r="C52" i="6"/>
  <c r="C68" i="6" s="1"/>
  <c r="C56" i="6"/>
  <c r="C57" i="6"/>
  <c r="C58" i="6"/>
  <c r="C59" i="6"/>
  <c r="C60" i="6"/>
  <c r="C61" i="6"/>
  <c r="C62" i="6"/>
  <c r="C69" i="6"/>
  <c r="C70" i="6"/>
  <c r="C66" i="6" l="1"/>
  <c r="C67" i="6"/>
  <c r="C36" i="6"/>
  <c r="C112" i="6" s="1"/>
  <c r="C65" i="6"/>
  <c r="B6" i="7"/>
  <c r="C41" i="6"/>
  <c r="C105" i="6"/>
  <c r="B3" i="17" s="1"/>
  <c r="C40" i="6"/>
  <c r="C18" i="7"/>
  <c r="H18" i="7"/>
  <c r="H19" i="7"/>
  <c r="C44" i="6"/>
  <c r="C43" i="6"/>
  <c r="C39" i="6"/>
  <c r="C42" i="6"/>
  <c r="B6" i="17" l="1"/>
  <c r="B31" i="17" s="1"/>
  <c r="D31" i="17" s="1"/>
  <c r="P1" i="19"/>
  <c r="P1" i="22"/>
  <c r="P1" i="18"/>
  <c r="P1" i="21"/>
  <c r="P1" i="20"/>
  <c r="B3" i="16"/>
  <c r="C32" i="16" s="1"/>
  <c r="B3" i="15"/>
  <c r="B3" i="9"/>
  <c r="C19" i="7"/>
  <c r="C20" i="7"/>
  <c r="B19" i="7"/>
  <c r="F19" i="7" s="1"/>
  <c r="B18" i="7"/>
  <c r="F18" i="7" s="1"/>
  <c r="B20" i="7"/>
  <c r="F20" i="7" s="1"/>
  <c r="C106" i="6"/>
  <c r="B3" i="7"/>
  <c r="C128" i="6" l="1"/>
  <c r="C140" i="6"/>
  <c r="B30" i="17"/>
  <c r="D30" i="17" s="1"/>
  <c r="B17" i="17"/>
  <c r="C28" i="17"/>
  <c r="C20" i="17" s="1"/>
  <c r="B75" i="17"/>
  <c r="C29" i="17"/>
  <c r="C16" i="17" s="1"/>
  <c r="D16" i="17" s="1"/>
  <c r="B20" i="17"/>
  <c r="B73" i="17"/>
  <c r="E21" i="17" s="1"/>
  <c r="C17" i="17"/>
  <c r="N12" i="18"/>
  <c r="N64" i="18"/>
  <c r="N37" i="18"/>
  <c r="N11" i="18"/>
  <c r="N60" i="18"/>
  <c r="N8" i="18"/>
  <c r="N4" i="18"/>
  <c r="N15" i="18"/>
  <c r="N23" i="18"/>
  <c r="N31" i="18"/>
  <c r="N39" i="18"/>
  <c r="N47" i="18"/>
  <c r="N55" i="18"/>
  <c r="N14" i="18"/>
  <c r="N6" i="18"/>
  <c r="N5" i="18"/>
  <c r="N17" i="18"/>
  <c r="N25" i="18"/>
  <c r="N33" i="18"/>
  <c r="N41" i="18"/>
  <c r="N49" i="18"/>
  <c r="N57" i="18"/>
  <c r="N3" i="18"/>
  <c r="N16" i="18"/>
  <c r="N24" i="18"/>
  <c r="N32" i="18"/>
  <c r="N40" i="18"/>
  <c r="N48" i="18"/>
  <c r="N56" i="18"/>
  <c r="N10" i="18"/>
  <c r="N21" i="18"/>
  <c r="N45" i="18"/>
  <c r="N28" i="18"/>
  <c r="N44" i="18"/>
  <c r="N22" i="18"/>
  <c r="N2" i="18"/>
  <c r="N9" i="18"/>
  <c r="N19" i="18"/>
  <c r="N27" i="18"/>
  <c r="N35" i="18"/>
  <c r="N43" i="18"/>
  <c r="N51" i="18"/>
  <c r="N59" i="18"/>
  <c r="N7" i="18"/>
  <c r="N18" i="18"/>
  <c r="N26" i="18"/>
  <c r="N34" i="18"/>
  <c r="N42" i="18"/>
  <c r="N50" i="18"/>
  <c r="N58" i="18"/>
  <c r="N13" i="18"/>
  <c r="N29" i="18"/>
  <c r="N53" i="18"/>
  <c r="N61" i="18"/>
  <c r="N20" i="18"/>
  <c r="N36" i="18"/>
  <c r="N52" i="18"/>
  <c r="N38" i="18"/>
  <c r="N46" i="18"/>
  <c r="N63" i="18"/>
  <c r="N54" i="18"/>
  <c r="N30" i="18"/>
  <c r="N62" i="18"/>
  <c r="N63" i="22"/>
  <c r="N2" i="22"/>
  <c r="N10" i="22"/>
  <c r="N18" i="22"/>
  <c r="N26" i="22"/>
  <c r="N34" i="22"/>
  <c r="N42" i="22"/>
  <c r="N50" i="22"/>
  <c r="N58" i="22"/>
  <c r="N3" i="22"/>
  <c r="N11" i="22"/>
  <c r="N19" i="22"/>
  <c r="N27" i="22"/>
  <c r="N35" i="22"/>
  <c r="N43" i="22"/>
  <c r="N51" i="22"/>
  <c r="N59" i="22"/>
  <c r="N4" i="22"/>
  <c r="N12" i="22"/>
  <c r="N20" i="22"/>
  <c r="N28" i="22"/>
  <c r="N36" i="22"/>
  <c r="N44" i="22"/>
  <c r="N52" i="22"/>
  <c r="N60" i="22"/>
  <c r="N5" i="22"/>
  <c r="N13" i="22"/>
  <c r="N21" i="22"/>
  <c r="N29" i="22"/>
  <c r="N37" i="22"/>
  <c r="N45" i="22"/>
  <c r="N53" i="22"/>
  <c r="N61" i="22"/>
  <c r="N6" i="22"/>
  <c r="N14" i="22"/>
  <c r="N22" i="22"/>
  <c r="N30" i="22"/>
  <c r="N38" i="22"/>
  <c r="N46" i="22"/>
  <c r="N54" i="22"/>
  <c r="N62" i="22"/>
  <c r="N7" i="22"/>
  <c r="N15" i="22"/>
  <c r="N23" i="22"/>
  <c r="N31" i="22"/>
  <c r="N39" i="22"/>
  <c r="N47" i="22"/>
  <c r="N55" i="22"/>
  <c r="N8" i="22"/>
  <c r="N16" i="22"/>
  <c r="N24" i="22"/>
  <c r="N32" i="22"/>
  <c r="N40" i="22"/>
  <c r="N48" i="22"/>
  <c r="N56" i="22"/>
  <c r="N64" i="22"/>
  <c r="N9" i="22"/>
  <c r="N17" i="22"/>
  <c r="N25" i="22"/>
  <c r="N33" i="22"/>
  <c r="N41" i="22"/>
  <c r="N49" i="22"/>
  <c r="N57" i="22"/>
  <c r="N64" i="20"/>
  <c r="N3" i="20"/>
  <c r="N23" i="20"/>
  <c r="N5" i="20"/>
  <c r="N19" i="20"/>
  <c r="N31" i="20"/>
  <c r="N41" i="20"/>
  <c r="N49" i="20"/>
  <c r="N57" i="20"/>
  <c r="N4" i="20"/>
  <c r="N12" i="20"/>
  <c r="N20" i="20"/>
  <c r="N28" i="20"/>
  <c r="N36" i="20"/>
  <c r="N44" i="20"/>
  <c r="N52" i="20"/>
  <c r="N60" i="20"/>
  <c r="N7" i="20"/>
  <c r="N29" i="20"/>
  <c r="N9" i="20"/>
  <c r="N21" i="20"/>
  <c r="N33" i="20"/>
  <c r="N43" i="20"/>
  <c r="N51" i="20"/>
  <c r="N59" i="20"/>
  <c r="N6" i="20"/>
  <c r="N14" i="20"/>
  <c r="N22" i="20"/>
  <c r="N30" i="20"/>
  <c r="N38" i="20"/>
  <c r="N46" i="20"/>
  <c r="N54" i="20"/>
  <c r="N62" i="20"/>
  <c r="N11" i="20"/>
  <c r="N39" i="20"/>
  <c r="N13" i="20"/>
  <c r="N25" i="20"/>
  <c r="N35" i="20"/>
  <c r="N45" i="20"/>
  <c r="N53" i="20"/>
  <c r="N63" i="20"/>
  <c r="N8" i="20"/>
  <c r="N16" i="20"/>
  <c r="N24" i="20"/>
  <c r="N32" i="20"/>
  <c r="N40" i="20"/>
  <c r="N48" i="20"/>
  <c r="N56" i="20"/>
  <c r="N17" i="20"/>
  <c r="N61" i="20"/>
  <c r="N15" i="20"/>
  <c r="N27" i="20"/>
  <c r="N37" i="20"/>
  <c r="N47" i="20"/>
  <c r="N55" i="20"/>
  <c r="N2" i="20"/>
  <c r="N10" i="20"/>
  <c r="N18" i="20"/>
  <c r="N26" i="20"/>
  <c r="N34" i="20"/>
  <c r="N42" i="20"/>
  <c r="N50" i="20"/>
  <c r="N58" i="20"/>
  <c r="N64" i="19"/>
  <c r="N7" i="19"/>
  <c r="N15" i="19"/>
  <c r="N23" i="19"/>
  <c r="N31" i="19"/>
  <c r="N39" i="19"/>
  <c r="N47" i="19"/>
  <c r="N55" i="19"/>
  <c r="N63" i="19"/>
  <c r="N8" i="19"/>
  <c r="N32" i="19"/>
  <c r="N40" i="19"/>
  <c r="N48" i="19"/>
  <c r="N56" i="19"/>
  <c r="N9" i="19"/>
  <c r="N17" i="19"/>
  <c r="N25" i="19"/>
  <c r="N33" i="19"/>
  <c r="N41" i="19"/>
  <c r="N49" i="19"/>
  <c r="N57" i="19"/>
  <c r="N2" i="19"/>
  <c r="N10" i="19"/>
  <c r="N18" i="19"/>
  <c r="N26" i="19"/>
  <c r="N34" i="19"/>
  <c r="N42" i="19"/>
  <c r="N50" i="19"/>
  <c r="N58" i="19"/>
  <c r="N3" i="19"/>
  <c r="N11" i="19"/>
  <c r="N19" i="19"/>
  <c r="N27" i="19"/>
  <c r="N35" i="19"/>
  <c r="N43" i="19"/>
  <c r="N51" i="19"/>
  <c r="N59" i="19"/>
  <c r="N4" i="19"/>
  <c r="N12" i="19"/>
  <c r="N20" i="19"/>
  <c r="N28" i="19"/>
  <c r="N36" i="19"/>
  <c r="N44" i="19"/>
  <c r="N52" i="19"/>
  <c r="N60" i="19"/>
  <c r="N24" i="19"/>
  <c r="N5" i="19"/>
  <c r="N13" i="19"/>
  <c r="N21" i="19"/>
  <c r="N29" i="19"/>
  <c r="N37" i="19"/>
  <c r="N45" i="19"/>
  <c r="N53" i="19"/>
  <c r="N61" i="19"/>
  <c r="N6" i="19"/>
  <c r="N14" i="19"/>
  <c r="N22" i="19"/>
  <c r="N30" i="19"/>
  <c r="N38" i="19"/>
  <c r="N46" i="19"/>
  <c r="N54" i="19"/>
  <c r="N62" i="19"/>
  <c r="N16" i="19"/>
  <c r="N64" i="21"/>
  <c r="N13" i="21"/>
  <c r="N61" i="21"/>
  <c r="N15" i="21"/>
  <c r="N27" i="21"/>
  <c r="N37" i="21"/>
  <c r="N45" i="21"/>
  <c r="N53" i="21"/>
  <c r="N63" i="21"/>
  <c r="N8" i="21"/>
  <c r="N16" i="21"/>
  <c r="N24" i="21"/>
  <c r="N32" i="21"/>
  <c r="N40" i="21"/>
  <c r="N48" i="21"/>
  <c r="N56" i="21"/>
  <c r="N19" i="21"/>
  <c r="N5" i="21"/>
  <c r="N17" i="21"/>
  <c r="N29" i="21"/>
  <c r="N39" i="21"/>
  <c r="N47" i="21"/>
  <c r="N55" i="21"/>
  <c r="N2" i="21"/>
  <c r="N10" i="21"/>
  <c r="N18" i="21"/>
  <c r="N26" i="21"/>
  <c r="N34" i="21"/>
  <c r="N42" i="21"/>
  <c r="N50" i="21"/>
  <c r="N58" i="21"/>
  <c r="N3" i="21"/>
  <c r="N25" i="21"/>
  <c r="N9" i="21"/>
  <c r="N21" i="21"/>
  <c r="N31" i="21"/>
  <c r="N41" i="21"/>
  <c r="N49" i="21"/>
  <c r="N57" i="21"/>
  <c r="N4" i="21"/>
  <c r="N12" i="21"/>
  <c r="N20" i="21"/>
  <c r="N28" i="21"/>
  <c r="N36" i="21"/>
  <c r="N44" i="21"/>
  <c r="N52" i="21"/>
  <c r="N60" i="21"/>
  <c r="N7" i="21"/>
  <c r="N35" i="21"/>
  <c r="N11" i="21"/>
  <c r="N23" i="21"/>
  <c r="N33" i="21"/>
  <c r="N43" i="21"/>
  <c r="N51" i="21"/>
  <c r="N59" i="21"/>
  <c r="N6" i="21"/>
  <c r="N14" i="21"/>
  <c r="N22" i="21"/>
  <c r="N30" i="21"/>
  <c r="N38" i="21"/>
  <c r="N46" i="21"/>
  <c r="N54" i="21"/>
  <c r="N62" i="21"/>
  <c r="F18" i="16"/>
  <c r="G18" i="16" s="1"/>
  <c r="F11" i="16"/>
  <c r="G11" i="16" s="1"/>
  <c r="B5" i="16"/>
  <c r="B33" i="16" s="1"/>
  <c r="C32" i="15"/>
  <c r="C34" i="9"/>
  <c r="C107" i="6"/>
  <c r="C108" i="6" s="1"/>
  <c r="C129" i="6" s="1"/>
  <c r="F28" i="9"/>
  <c r="G28" i="9" s="1"/>
  <c r="B52" i="9" s="1"/>
  <c r="C94" i="6" s="1"/>
  <c r="F29" i="9"/>
  <c r="G29" i="9" s="1"/>
  <c r="B54" i="9" s="1"/>
  <c r="C96" i="6" s="1"/>
  <c r="B5" i="9"/>
  <c r="B35" i="9" s="1"/>
  <c r="B5" i="15"/>
  <c r="B33" i="15" s="1"/>
  <c r="F51" i="7"/>
  <c r="B5" i="7"/>
  <c r="F49" i="7"/>
  <c r="D20" i="17" l="1"/>
  <c r="B74" i="17"/>
  <c r="D17" i="17"/>
  <c r="S1" i="22"/>
  <c r="E17" i="17" s="1"/>
  <c r="E32" i="17"/>
  <c r="B47" i="17" s="1"/>
  <c r="C115" i="6"/>
  <c r="G31" i="17"/>
  <c r="H31" i="17" s="1"/>
  <c r="S1" i="20"/>
  <c r="E18" i="17" s="1"/>
  <c r="B81" i="17" s="1"/>
  <c r="E22" i="17" s="1"/>
  <c r="G22" i="17" s="1"/>
  <c r="H22" i="17" s="1"/>
  <c r="S1" i="18"/>
  <c r="S1" i="19"/>
  <c r="E14" i="17" s="1"/>
  <c r="B80" i="17" s="1"/>
  <c r="S1" i="21"/>
  <c r="E13" i="17" s="1"/>
  <c r="D13" i="16"/>
  <c r="B25" i="16"/>
  <c r="B14" i="16"/>
  <c r="D14" i="16" s="1"/>
  <c r="F27" i="16"/>
  <c r="G27" i="16" s="1"/>
  <c r="H27" i="16" s="1"/>
  <c r="I27" i="16" s="1"/>
  <c r="B26" i="16"/>
  <c r="B48" i="17"/>
  <c r="G21" i="17"/>
  <c r="H21" i="17" s="1"/>
  <c r="D10" i="16"/>
  <c r="B16" i="16"/>
  <c r="D16" i="16" s="1"/>
  <c r="E32" i="16"/>
  <c r="B32" i="16"/>
  <c r="D32" i="16" s="1"/>
  <c r="F17" i="16"/>
  <c r="G17" i="16" s="1"/>
  <c r="H17" i="16" s="1"/>
  <c r="I17" i="16" s="1"/>
  <c r="C23" i="16"/>
  <c r="C16" i="16" s="1"/>
  <c r="E16" i="16" s="1"/>
  <c r="F16" i="16" s="1"/>
  <c r="G16" i="16" s="1"/>
  <c r="D19" i="16"/>
  <c r="F19" i="16" s="1"/>
  <c r="G19" i="16" s="1"/>
  <c r="H19" i="16" s="1"/>
  <c r="I19" i="16" s="1"/>
  <c r="B38" i="16"/>
  <c r="C14" i="16"/>
  <c r="E14" i="16" s="1"/>
  <c r="E10" i="16"/>
  <c r="C24" i="16"/>
  <c r="C13" i="16" s="1"/>
  <c r="E13" i="16" s="1"/>
  <c r="C116" i="6"/>
  <c r="C113" i="6"/>
  <c r="C114" i="6"/>
  <c r="E32" i="15"/>
  <c r="B34" i="9"/>
  <c r="D34" i="9" s="1"/>
  <c r="E34" i="9"/>
  <c r="B32" i="15"/>
  <c r="D32" i="15" s="1"/>
  <c r="D10" i="9"/>
  <c r="C23" i="9"/>
  <c r="C16" i="9" s="1"/>
  <c r="E16" i="9" s="1"/>
  <c r="F27" i="9"/>
  <c r="G27" i="9" s="1"/>
  <c r="B43" i="9" s="1"/>
  <c r="C24" i="9"/>
  <c r="C13" i="9" s="1"/>
  <c r="E13" i="9" s="1"/>
  <c r="B25" i="9"/>
  <c r="D25" i="9" s="1"/>
  <c r="C14" i="9"/>
  <c r="E14" i="9" s="1"/>
  <c r="F17" i="9"/>
  <c r="G17" i="9" s="1"/>
  <c r="B48" i="9" s="1"/>
  <c r="C90" i="6" s="1"/>
  <c r="B16" i="9"/>
  <c r="D16" i="9" s="1"/>
  <c r="B14" i="9"/>
  <c r="D14" i="9" s="1"/>
  <c r="D13" i="9"/>
  <c r="E10" i="9"/>
  <c r="B26" i="9"/>
  <c r="D19" i="9"/>
  <c r="F19" i="9" s="1"/>
  <c r="G19" i="9" s="1"/>
  <c r="B39" i="9" s="1"/>
  <c r="F18" i="15"/>
  <c r="G18" i="15" s="1"/>
  <c r="G11" i="15"/>
  <c r="D19" i="15"/>
  <c r="F19" i="15" s="1"/>
  <c r="G19" i="15" s="1"/>
  <c r="C23" i="15"/>
  <c r="C16" i="15" s="1"/>
  <c r="E16" i="15" s="1"/>
  <c r="C14" i="15"/>
  <c r="E14" i="15" s="1"/>
  <c r="B16" i="15"/>
  <c r="D16" i="15" s="1"/>
  <c r="B25" i="15"/>
  <c r="D25" i="15" s="1"/>
  <c r="F25" i="15" s="1"/>
  <c r="G25" i="15" s="1"/>
  <c r="F27" i="15"/>
  <c r="G27" i="15" s="1"/>
  <c r="B45" i="15" s="1"/>
  <c r="D10" i="15"/>
  <c r="D13" i="15"/>
  <c r="B26" i="15"/>
  <c r="B14" i="15"/>
  <c r="C24" i="15"/>
  <c r="C13" i="15" s="1"/>
  <c r="E13" i="15" s="1"/>
  <c r="E10" i="15"/>
  <c r="G18" i="9"/>
  <c r="B23" i="7"/>
  <c r="F16" i="7"/>
  <c r="B24" i="7"/>
  <c r="B13" i="7"/>
  <c r="D13" i="7" s="1"/>
  <c r="C22" i="7"/>
  <c r="C12" i="7" s="1"/>
  <c r="E12" i="7" s="1"/>
  <c r="C13" i="7"/>
  <c r="E13" i="7" s="1"/>
  <c r="D17" i="7"/>
  <c r="F17" i="7" s="1"/>
  <c r="G17" i="7" s="1"/>
  <c r="B33" i="7" s="1"/>
  <c r="C21" i="7"/>
  <c r="C15" i="7" s="1"/>
  <c r="E15" i="7" s="1"/>
  <c r="D12" i="7"/>
  <c r="D10" i="7"/>
  <c r="B15" i="7"/>
  <c r="D15" i="7" s="1"/>
  <c r="E10" i="7"/>
  <c r="B59" i="16" l="1"/>
  <c r="F13" i="16"/>
  <c r="G13" i="16" s="1"/>
  <c r="D25" i="16" s="1"/>
  <c r="F25" i="16" s="1"/>
  <c r="G25" i="16" s="1"/>
  <c r="G32" i="17"/>
  <c r="H32" i="17" s="1"/>
  <c r="E20" i="17"/>
  <c r="G20" i="17" s="1"/>
  <c r="B9" i="17" s="1"/>
  <c r="B63" i="17" s="1"/>
  <c r="C102" i="6" s="1"/>
  <c r="B50" i="17"/>
  <c r="F10" i="16"/>
  <c r="G10" i="16" s="1"/>
  <c r="B40" i="16" s="1"/>
  <c r="F14" i="16"/>
  <c r="G14" i="16" s="1"/>
  <c r="H14" i="16" s="1"/>
  <c r="I14" i="16" s="1"/>
  <c r="G13" i="17"/>
  <c r="G17" i="17"/>
  <c r="E23" i="17"/>
  <c r="E16" i="17"/>
  <c r="B42" i="16"/>
  <c r="F32" i="16"/>
  <c r="G32" i="16" s="1"/>
  <c r="B57" i="16" s="1"/>
  <c r="B46" i="16"/>
  <c r="H16" i="16"/>
  <c r="I16" i="16" s="1"/>
  <c r="D34" i="16"/>
  <c r="G34" i="16" s="1"/>
  <c r="B45" i="16"/>
  <c r="D14" i="15"/>
  <c r="F14" i="15" s="1"/>
  <c r="G14" i="15" s="1"/>
  <c r="H14" i="15" s="1"/>
  <c r="B61" i="9"/>
  <c r="B54" i="15"/>
  <c r="B53" i="15"/>
  <c r="F34" i="9"/>
  <c r="G34" i="9" s="1"/>
  <c r="F32" i="15"/>
  <c r="G32" i="15" s="1"/>
  <c r="H32" i="15" s="1"/>
  <c r="I32" i="15" s="1"/>
  <c r="H19" i="9"/>
  <c r="I19" i="9" s="1"/>
  <c r="F16" i="9"/>
  <c r="G16" i="9" s="1"/>
  <c r="H16" i="9" s="1"/>
  <c r="I16" i="9" s="1"/>
  <c r="B41" i="16"/>
  <c r="B44" i="9"/>
  <c r="F13" i="9"/>
  <c r="G13" i="9" s="1"/>
  <c r="H13" i="9" s="1"/>
  <c r="I13" i="9" s="1"/>
  <c r="F14" i="9"/>
  <c r="G14" i="9" s="1"/>
  <c r="H14" i="9" s="1"/>
  <c r="H17" i="9"/>
  <c r="I17" i="9" s="1"/>
  <c r="F13" i="15"/>
  <c r="G13" i="15" s="1"/>
  <c r="B40" i="15" s="1"/>
  <c r="F10" i="15"/>
  <c r="G10" i="15" s="1"/>
  <c r="B39" i="15" s="1"/>
  <c r="F17" i="15"/>
  <c r="G17" i="15" s="1"/>
  <c r="H17" i="15" s="1"/>
  <c r="I17" i="15" s="1"/>
  <c r="B41" i="15"/>
  <c r="H19" i="15"/>
  <c r="I19" i="15" s="1"/>
  <c r="F16" i="15"/>
  <c r="G16" i="15" s="1"/>
  <c r="B37" i="15"/>
  <c r="H27" i="15"/>
  <c r="I27" i="15" s="1"/>
  <c r="G11" i="9"/>
  <c r="F10" i="9"/>
  <c r="G10" i="9" s="1"/>
  <c r="B53" i="9"/>
  <c r="F10" i="7"/>
  <c r="F25" i="9"/>
  <c r="G25" i="9" s="1"/>
  <c r="F13" i="7"/>
  <c r="G13" i="7" s="1"/>
  <c r="B35" i="7" s="1"/>
  <c r="H17" i="7"/>
  <c r="D23" i="7" s="1"/>
  <c r="F23" i="7" s="1"/>
  <c r="G23" i="7" s="1"/>
  <c r="H23" i="7" s="1"/>
  <c r="F15" i="7"/>
  <c r="G15" i="7" s="1"/>
  <c r="G16" i="7"/>
  <c r="F12" i="7"/>
  <c r="G12" i="7" s="1"/>
  <c r="B45" i="17" l="1"/>
  <c r="H32" i="16"/>
  <c r="I32" i="16" s="1"/>
  <c r="H25" i="16"/>
  <c r="C77" i="6"/>
  <c r="H13" i="16"/>
  <c r="I13" i="16" s="1"/>
  <c r="H23" i="16"/>
  <c r="B44" i="16"/>
  <c r="B15" i="16"/>
  <c r="D15" i="16" s="1"/>
  <c r="F15" i="16" s="1"/>
  <c r="G15" i="16" s="1"/>
  <c r="H15" i="16" s="1"/>
  <c r="H10" i="16"/>
  <c r="I10" i="16" s="1"/>
  <c r="H34" i="16"/>
  <c r="H17" i="17"/>
  <c r="B19" i="17"/>
  <c r="D19" i="17" s="1"/>
  <c r="E30" i="17" s="1"/>
  <c r="B46" i="17" s="1"/>
  <c r="C85" i="6" s="1"/>
  <c r="B15" i="17"/>
  <c r="D15" i="17" s="1"/>
  <c r="E15" i="17" s="1"/>
  <c r="H13" i="17"/>
  <c r="G28" i="17"/>
  <c r="H28" i="17" s="1"/>
  <c r="H20" i="17"/>
  <c r="B44" i="17"/>
  <c r="G16" i="17"/>
  <c r="G23" i="17"/>
  <c r="H23" i="17" s="1"/>
  <c r="B49" i="17"/>
  <c r="H25" i="9"/>
  <c r="B50" i="16"/>
  <c r="B60" i="9"/>
  <c r="C76" i="6" s="1"/>
  <c r="H24" i="9"/>
  <c r="B52" i="15"/>
  <c r="H34" i="9"/>
  <c r="I34" i="9" s="1"/>
  <c r="B59" i="9"/>
  <c r="B47" i="9"/>
  <c r="C89" i="6" s="1"/>
  <c r="H23" i="9"/>
  <c r="B42" i="9"/>
  <c r="C84" i="6" s="1"/>
  <c r="B43" i="15"/>
  <c r="H13" i="15"/>
  <c r="H24" i="15" s="1"/>
  <c r="H10" i="15"/>
  <c r="H25" i="15"/>
  <c r="H16" i="15"/>
  <c r="B44" i="15"/>
  <c r="I14" i="15"/>
  <c r="B15" i="15"/>
  <c r="D15" i="15" s="1"/>
  <c r="F15" i="15" s="1"/>
  <c r="G15" i="15" s="1"/>
  <c r="H10" i="9"/>
  <c r="B51" i="9"/>
  <c r="H27" i="9"/>
  <c r="I27" i="9" s="1"/>
  <c r="B15" i="9"/>
  <c r="D15" i="9" s="1"/>
  <c r="I14" i="9"/>
  <c r="B46" i="9"/>
  <c r="B41" i="9"/>
  <c r="H13" i="7"/>
  <c r="B14" i="7" s="1"/>
  <c r="D14" i="7" s="1"/>
  <c r="F14" i="7" s="1"/>
  <c r="G14" i="7" s="1"/>
  <c r="H14" i="7" s="1"/>
  <c r="B36" i="7"/>
  <c r="H15" i="7"/>
  <c r="H21" i="7" s="1"/>
  <c r="B30" i="7"/>
  <c r="H12" i="7"/>
  <c r="H22" i="7" s="1"/>
  <c r="G4" i="7"/>
  <c r="B31" i="7"/>
  <c r="B37" i="7"/>
  <c r="H16" i="7"/>
  <c r="H24" i="16" l="1"/>
  <c r="C75" i="6"/>
  <c r="B43" i="16"/>
  <c r="C83" i="6"/>
  <c r="C88" i="6"/>
  <c r="B12" i="16"/>
  <c r="D12" i="16" s="1"/>
  <c r="E12" i="16" s="1"/>
  <c r="F12" i="16" s="1"/>
  <c r="G12" i="16" s="1"/>
  <c r="D26" i="16" s="1"/>
  <c r="E19" i="17"/>
  <c r="G19" i="17" s="1"/>
  <c r="H19" i="17" s="1"/>
  <c r="G30" i="17"/>
  <c r="H30" i="17" s="1"/>
  <c r="B42" i="17"/>
  <c r="G15" i="17"/>
  <c r="H16" i="17"/>
  <c r="G29" i="17"/>
  <c r="H29" i="17" s="1"/>
  <c r="I10" i="15"/>
  <c r="I15" i="16"/>
  <c r="B12" i="15"/>
  <c r="D12" i="15" s="1"/>
  <c r="E12" i="15" s="1"/>
  <c r="F12" i="15" s="1"/>
  <c r="G12" i="15" s="1"/>
  <c r="I13" i="15"/>
  <c r="H15" i="15"/>
  <c r="B42" i="15"/>
  <c r="C86" i="6" s="1"/>
  <c r="H23" i="15"/>
  <c r="I16" i="15"/>
  <c r="H10" i="7"/>
  <c r="F15" i="9"/>
  <c r="G15" i="9" s="1"/>
  <c r="H15" i="9" s="1"/>
  <c r="I10" i="9"/>
  <c r="B12" i="9"/>
  <c r="B34" i="7"/>
  <c r="B29" i="7"/>
  <c r="H11" i="7"/>
  <c r="C81" i="6" l="1"/>
  <c r="B43" i="17"/>
  <c r="H12" i="16"/>
  <c r="I12" i="16" s="1"/>
  <c r="B39" i="16"/>
  <c r="H15" i="17"/>
  <c r="B37" i="17"/>
  <c r="D35" i="9"/>
  <c r="F26" i="16"/>
  <c r="B11" i="7"/>
  <c r="D11" i="7" s="1"/>
  <c r="E11" i="7" s="1"/>
  <c r="I15" i="15"/>
  <c r="D33" i="15" s="1"/>
  <c r="H12" i="15"/>
  <c r="B38" i="15"/>
  <c r="I15" i="9"/>
  <c r="B45" i="9"/>
  <c r="C87" i="6" s="1"/>
  <c r="D24" i="7"/>
  <c r="B43" i="7" s="1"/>
  <c r="D12" i="9"/>
  <c r="E12" i="9" s="1"/>
  <c r="B38" i="17" l="1"/>
  <c r="D26" i="15"/>
  <c r="B51" i="15" s="1"/>
  <c r="B58" i="16"/>
  <c r="G26" i="16"/>
  <c r="H26" i="16" s="1"/>
  <c r="H28" i="16" s="1"/>
  <c r="C33" i="16" s="1"/>
  <c r="I12" i="15"/>
  <c r="F12" i="9"/>
  <c r="G12" i="9" s="1"/>
  <c r="F24" i="7"/>
  <c r="G24" i="7" s="1"/>
  <c r="B42" i="7" s="1"/>
  <c r="E33" i="16"/>
  <c r="D33" i="16" l="1"/>
  <c r="F33" i="16" s="1"/>
  <c r="G33" i="16" s="1"/>
  <c r="H33" i="16" s="1"/>
  <c r="I33" i="16" s="1"/>
  <c r="F26" i="15"/>
  <c r="G26" i="15" s="1"/>
  <c r="B50" i="15" s="1"/>
  <c r="B49" i="16"/>
  <c r="H12" i="9"/>
  <c r="B40" i="9"/>
  <c r="C82" i="6" s="1"/>
  <c r="H24" i="7"/>
  <c r="H25" i="7" s="1"/>
  <c r="H26" i="15" l="1"/>
  <c r="H28" i="15" s="1"/>
  <c r="D26" i="9"/>
  <c r="F26" i="9" s="1"/>
  <c r="G26" i="9" s="1"/>
  <c r="B57" i="9" s="1"/>
  <c r="C72" i="6" s="1"/>
  <c r="I12" i="9"/>
  <c r="C33" i="15" l="1"/>
  <c r="E33" i="15" s="1"/>
  <c r="F33" i="15" s="1"/>
  <c r="G33" i="15" s="1"/>
  <c r="H33" i="15" s="1"/>
  <c r="I33" i="15" s="1"/>
  <c r="B58" i="9"/>
  <c r="C73" i="6" s="1"/>
  <c r="H26" i="9"/>
  <c r="H30" i="9" s="1"/>
  <c r="C35" i="9" l="1"/>
  <c r="E35" i="9" s="1"/>
  <c r="F35" i="9" s="1"/>
  <c r="G35" i="9" s="1"/>
  <c r="H35" i="9" s="1"/>
  <c r="I35" i="9" s="1"/>
  <c r="C117" i="6"/>
  <c r="C118" i="6" s="1"/>
  <c r="E15" i="6" l="1"/>
  <c r="C130" i="6"/>
  <c r="C132" i="6" s="1"/>
  <c r="C131" i="6"/>
  <c r="C133" i="6" s="1"/>
  <c r="C141" i="6" l="1"/>
  <c r="C142" i="6" s="1"/>
</calcChain>
</file>

<file path=xl/comments1.xml><?xml version="1.0" encoding="utf-8"?>
<comments xmlns="http://schemas.openxmlformats.org/spreadsheetml/2006/main">
  <authors>
    <author>Qualcomm User</author>
    <author>Qualcomm</author>
    <author>Arun Ramanathan</author>
    <author>Ng, Kit</author>
  </authors>
  <commentList>
    <comment ref="B22" authorId="0" shapeId="0">
      <text>
        <r>
          <rPr>
            <b/>
            <sz val="9"/>
            <color indexed="81"/>
            <rFont val="Tahoma"/>
            <family val="2"/>
          </rPr>
          <t>Qualcomm User:</t>
        </r>
        <r>
          <rPr>
            <sz val="9"/>
            <color indexed="81"/>
            <rFont val="Tahoma"/>
            <family val="2"/>
          </rPr>
          <t xml:space="preserve">
Assumes ESCCLK source is PXO.</t>
        </r>
      </text>
    </comment>
    <comment ref="C22" authorId="0" shapeId="0">
      <text>
        <r>
          <rPr>
            <b/>
            <sz val="9"/>
            <color indexed="81"/>
            <rFont val="Tahoma"/>
            <family val="2"/>
          </rPr>
          <t>Qualcomm User:</t>
        </r>
        <r>
          <rPr>
            <sz val="9"/>
            <color indexed="81"/>
            <rFont val="Tahoma"/>
            <family val="2"/>
          </rPr>
          <t xml:space="preserve">
Example Entries: 1, 1.5, 2, 2.5, … (see SWI for more possible entries)</t>
        </r>
      </text>
    </comment>
    <comment ref="B24" authorId="1" shapeId="0">
      <text>
        <r>
          <rPr>
            <b/>
            <sz val="8"/>
            <color indexed="81"/>
            <rFont val="Tahoma"/>
            <family val="2"/>
          </rPr>
          <t>Qualcomm:</t>
        </r>
        <r>
          <rPr>
            <sz val="8"/>
            <color indexed="81"/>
            <rFont val="Tahoma"/>
            <family val="2"/>
          </rPr>
          <t xml:space="preserve">
set to 0's if IP Catalog version is not applicable to the PHY design</t>
        </r>
      </text>
    </comment>
    <comment ref="B36" authorId="2" shapeId="0">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 ref="C118" authorId="3" shapeId="0">
      <text>
        <r>
          <rPr>
            <b/>
            <sz val="9"/>
            <color indexed="81"/>
            <rFont val="Tahoma"/>
            <family val="2"/>
          </rPr>
          <t>Ng, Kit:</t>
        </r>
        <r>
          <rPr>
            <sz val="9"/>
            <color indexed="81"/>
            <rFont val="Tahoma"/>
            <family val="2"/>
          </rPr>
          <t xml:space="preserve">
controller latency: 13 pclk + 16 byteclk + 4 byte_intf_clk
PHY latency: 272 UI for DPHY; 140 UI for CPHY</t>
        </r>
      </text>
    </comment>
    <comment ref="B136" authorId="3" shapeId="0">
      <text>
        <r>
          <rPr>
            <b/>
            <sz val="9"/>
            <color indexed="81"/>
            <rFont val="Tahoma"/>
            <family val="2"/>
          </rPr>
          <t>Ng, Kit:</t>
        </r>
        <r>
          <rPr>
            <sz val="9"/>
            <color indexed="81"/>
            <rFont val="Tahoma"/>
            <family val="2"/>
          </rPr>
          <t xml:space="preserve">
short packet = 4 byte
long packet = 4 byte packet header + X byte payload + 2 byte checksum</t>
        </r>
      </text>
    </comment>
    <comment ref="C141" authorId="3" shapeId="0">
      <text>
        <r>
          <rPr>
            <b/>
            <sz val="9"/>
            <color indexed="81"/>
            <rFont val="Tahoma"/>
            <family val="2"/>
          </rPr>
          <t>Ng, Kit:</t>
        </r>
        <r>
          <rPr>
            <sz val="9"/>
            <color indexed="81"/>
            <rFont val="Tahoma"/>
            <family val="2"/>
          </rPr>
          <t xml:space="preserve">
line time - hsync packet transfer time - LP-HS transition overhead</t>
        </r>
      </text>
    </comment>
    <comment ref="C142" authorId="3" shapeId="0">
      <text>
        <r>
          <rPr>
            <b/>
            <sz val="9"/>
            <color indexed="81"/>
            <rFont val="Tahoma"/>
            <family val="2"/>
          </rPr>
          <t>Ng, Kit:</t>
        </r>
        <r>
          <rPr>
            <sz val="9"/>
            <color indexed="81"/>
            <rFont val="Tahoma"/>
            <family val="2"/>
          </rPr>
          <t xml:space="preserve">
"time allowed for DMA+BTA+panel response packet transfer" - DMA transfer time - BTA
</t>
        </r>
      </text>
    </comment>
  </commentList>
</comments>
</file>

<file path=xl/comments2.xml><?xml version="1.0" encoding="utf-8"?>
<comments xmlns="http://schemas.openxmlformats.org/spreadsheetml/2006/main">
  <authors>
    <author>Qualcomm</author>
    <author>Qualcomm User</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C12" authorId="0" shapeId="0">
      <text>
        <r>
          <rPr>
            <b/>
            <sz val="8"/>
            <color indexed="81"/>
            <rFont val="Tahoma"/>
            <family val="2"/>
          </rPr>
          <t>Qualcomm:</t>
        </r>
        <r>
          <rPr>
            <sz val="8"/>
            <color indexed="81"/>
            <rFont val="Tahoma"/>
            <family val="2"/>
          </rPr>
          <t xml:space="preserve">
t_clk_trail must be smaller than max t_eot - treot. Treot = 20ns max</t>
        </r>
      </text>
    </comment>
    <comment ref="G14" authorId="0" shapeId="0">
      <text>
        <r>
          <rPr>
            <b/>
            <sz val="8"/>
            <color indexed="81"/>
            <rFont val="Tahoma"/>
            <family val="2"/>
          </rPr>
          <t>Qualcomm:</t>
        </r>
        <r>
          <rPr>
            <sz val="8"/>
            <color indexed="81"/>
            <rFont val="Tahoma"/>
            <family val="2"/>
          </rPr>
          <t xml:space="preserve">
must be greater than 24
</t>
        </r>
      </text>
    </comment>
    <comment ref="C15" authorId="0" shapeId="0">
      <text>
        <r>
          <rPr>
            <b/>
            <sz val="8"/>
            <color indexed="81"/>
            <rFont val="Tahoma"/>
            <family val="2"/>
          </rPr>
          <t>Qualcomm:</t>
        </r>
        <r>
          <rPr>
            <sz val="8"/>
            <color indexed="81"/>
            <rFont val="Tahoma"/>
            <family val="2"/>
          </rPr>
          <t xml:space="preserve">
t_hs_trail must be smaller than max t_eot - treot. Treot = 20ns max</t>
        </r>
      </text>
    </comment>
    <comment ref="G16" authorId="0" shapeId="0">
      <text>
        <r>
          <rPr>
            <b/>
            <sz val="8"/>
            <color indexed="81"/>
            <rFont val="Tahoma"/>
            <family val="2"/>
          </rPr>
          <t>Qualcomm:</t>
        </r>
        <r>
          <rPr>
            <sz val="8"/>
            <color indexed="81"/>
            <rFont val="Tahoma"/>
            <family val="2"/>
          </rPr>
          <t xml:space="preserve">
program this to an integer close to bitclk / escclk </t>
        </r>
      </text>
    </comment>
    <comment ref="H21" authorId="0" shapeId="0">
      <text>
        <r>
          <rPr>
            <b/>
            <sz val="8"/>
            <color indexed="81"/>
            <rFont val="Tahoma"/>
            <family val="2"/>
          </rPr>
          <t>Qualcomm:</t>
        </r>
        <r>
          <rPr>
            <sz val="8"/>
            <color indexed="81"/>
            <rFont val="Tahoma"/>
            <family val="2"/>
          </rPr>
          <t xml:space="preserve">
teot = t_hs_trail + avg treot.</t>
        </r>
      </text>
    </comment>
    <comment ref="H22" authorId="0" shapeId="0">
      <text>
        <r>
          <rPr>
            <b/>
            <sz val="8"/>
            <color indexed="81"/>
            <rFont val="Tahoma"/>
            <family val="2"/>
          </rPr>
          <t>Qualcomm:</t>
        </r>
        <r>
          <rPr>
            <sz val="8"/>
            <color indexed="81"/>
            <rFont val="Tahoma"/>
            <family val="2"/>
          </rPr>
          <t xml:space="preserve">
teot = t_clk_trail + avg 
treot.</t>
        </r>
      </text>
    </comment>
    <comment ref="H23" authorId="0" shapeId="0">
      <text>
        <r>
          <rPr>
            <b/>
            <sz val="8"/>
            <color indexed="81"/>
            <rFont val="Tahoma"/>
            <family val="2"/>
          </rPr>
          <t>Qualcomm:</t>
        </r>
        <r>
          <rPr>
            <sz val="8"/>
            <color indexed="81"/>
            <rFont val="Tahoma"/>
            <family val="2"/>
          </rPr>
          <t xml:space="preserve">
Expected T_clk_post
= (program value + 1) x 8UI + t_hs_exit + 24 UI
</t>
        </r>
      </text>
    </comment>
    <comment ref="H24" authorId="0" shape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shapeId="0">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comments3.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if DSIPHY_HSTX_HALFBYTECLK_EN = 0, 
T_CLK_PREPARE = DSIPHY_T_HS_PREPARE * 8 + DSIPHY_HSTX_PREPARE_DLY * 2
if DSIPHY_HSTX_HALFBYTECLK_EN = 1, 
T_CLK_PREPARE = (DSIPHY_T_HS_PREPARE + 0.5) * 8 + DSIPHY_HSTX_PREPARE_DLY * 2</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+ 3) * 8 + 11 - (DSIPHY_HSTX_PREPARE_DLY)*2</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DSIPHY_T_CLK_TRAIL* 8 – 3</t>
        </r>
      </text>
    </comment>
    <comment ref="H14" authorId="1" shapeId="0">
      <text>
        <r>
          <rPr>
            <b/>
            <sz val="9"/>
            <color indexed="81"/>
            <rFont val="Tahoma"/>
            <family val="2"/>
          </rPr>
          <t>Qualcomm User:</t>
        </r>
        <r>
          <rPr>
            <sz val="9"/>
            <color indexed="81"/>
            <rFont val="Tahoma"/>
            <family val="2"/>
          </rPr>
          <t xml:space="preserve">
if DSIPHY_HSTX_HALFBYTECLK_EN = 0, 
T_CLK_PREPARE = DSIPHY_T_HS_PREPARE * 8 + DSIPHY_HSTX_PREPARE_DLY * 2
if DSIPHY_HSTX_HALFBYTECLK_EN = 1, 
T_CLK_PREPARE = (DSIPHY_T_HS_PREPARE + 0.5) * 8 + DSIPHY_HSTX_PREPARE_DLY * 2
note: there's no need to set DSIPHY_HSTX_PREPARE_DLY to non-zero value for data lanes. it is only applicable for clk lane</t>
        </r>
      </text>
    </comment>
    <comment ref="H15" authorId="1" shapeId="0">
      <text>
        <r>
          <rPr>
            <b/>
            <sz val="9"/>
            <color indexed="81"/>
            <rFont val="Tahoma"/>
            <family val="2"/>
          </rPr>
          <t>Qualcomm User:</t>
        </r>
        <r>
          <rPr>
            <sz val="9"/>
            <color indexed="81"/>
            <rFont val="Tahoma"/>
            <family val="2"/>
          </rPr>
          <t xml:space="preserve">
UI Calculation: (DSIPHY_T_HS_ZERO + 3) * 8 + 11 - (DSIPHY_HSTX_PREPARE_DLY)*2</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 * 8 – 3</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28" authorId="0" shapeId="0">
      <text>
        <r>
          <rPr>
            <b/>
            <sz val="8"/>
            <color indexed="81"/>
            <rFont val="Tahoma"/>
            <family val="2"/>
          </rPr>
          <t>Qualcomm:
2UI control using DSIPHY_HSTX_PREPARE_DLY</t>
        </r>
        <r>
          <rPr>
            <sz val="8"/>
            <color indexed="81"/>
            <rFont val="Tahoma"/>
            <family val="2"/>
          </rPr>
          <t xml:space="preserve">
</t>
        </r>
      </text>
    </comment>
    <comment ref="G29" authorId="0" shapeId="0">
      <text>
        <r>
          <rPr>
            <b/>
            <sz val="8"/>
            <color indexed="81"/>
            <rFont val="Tahoma"/>
            <family val="2"/>
          </rPr>
          <t>Qualcomm:
2UI control using DSIPHY_HSTX_PREPARE_DLY</t>
        </r>
        <r>
          <rPr>
            <sz val="8"/>
            <color indexed="81"/>
            <rFont val="Tahoma"/>
            <family val="2"/>
          </rPr>
          <t xml:space="preserve">
</t>
        </r>
      </text>
    </comment>
    <comment ref="D32"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2"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2" authorId="0" shapeId="0">
      <text>
        <r>
          <rPr>
            <b/>
            <sz val="8"/>
            <color indexed="81"/>
            <rFont val="Tahoma"/>
            <family val="2"/>
          </rPr>
          <t>Qualcomm:</t>
        </r>
        <r>
          <rPr>
            <sz val="8"/>
            <color indexed="81"/>
            <rFont val="Tahoma"/>
            <family val="2"/>
          </rPr>
          <t xml:space="preserve">
actual period at the DSI link</t>
        </r>
      </text>
    </comment>
    <comment ref="C35"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61"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4.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+ 1) x 8UI + 72 UI + t_hs_exit
</t>
        </r>
      </text>
    </comment>
    <comment ref="H26" authorId="0" shapeId="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54"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5.xml><?xml version="1.0" encoding="utf-8"?>
<comments xmlns="http://schemas.openxmlformats.org/spreadsheetml/2006/main">
  <authors>
    <author>Qualcomm</author>
    <author>Qualcomm User</author>
    <author>Ng, Kit</author>
  </authors>
  <commentList>
    <comment ref="D8"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text>
        <r>
          <rPr>
            <b/>
            <sz val="8"/>
            <color indexed="81"/>
            <rFont val="Tahoma"/>
            <family val="2"/>
          </rPr>
          <t>Qualcomm:</t>
        </r>
        <r>
          <rPr>
            <sz val="8"/>
            <color indexed="81"/>
            <rFont val="Tahoma"/>
            <family val="2"/>
          </rPr>
          <t xml:space="preserve">
actual period at the DSI link</t>
        </r>
      </text>
    </comment>
    <comment ref="G10" authorId="0" shapeId="0">
      <text>
        <r>
          <rPr>
            <b/>
            <sz val="8"/>
            <color indexed="81"/>
            <rFont val="Tahoma"/>
            <family val="2"/>
          </rPr>
          <t>Qualcomm:</t>
        </r>
        <r>
          <rPr>
            <sz val="8"/>
            <color indexed="81"/>
            <rFont val="Tahoma"/>
            <family val="2"/>
          </rPr>
          <t xml:space="preserve">
8UI Control using DSIPHY_T_HS_PREPARE</t>
        </r>
      </text>
    </comment>
    <comment ref="H10" authorId="0" shapeId="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text>
        <r>
          <rPr>
            <b/>
            <sz val="8"/>
            <color indexed="81"/>
            <rFont val="Tahoma"/>
            <family val="2"/>
          </rPr>
          <t>Qualcomm:
2UI control using DSIPHY_HSTX_PREPARE_DLY</t>
        </r>
        <r>
          <rPr>
            <sz val="8"/>
            <color indexed="81"/>
            <rFont val="Tahoma"/>
            <family val="2"/>
          </rPr>
          <t xml:space="preserve">
</t>
        </r>
      </text>
    </comment>
    <comment ref="H12" authorId="1" shapeId="0">
      <text>
        <r>
          <rPr>
            <b/>
            <sz val="9"/>
            <color indexed="81"/>
            <rFont val="Tahoma"/>
            <family val="2"/>
          </rPr>
          <t>Qualcomm User:</t>
        </r>
        <r>
          <rPr>
            <sz val="9"/>
            <color indexed="81"/>
            <rFont val="Tahoma"/>
            <family val="2"/>
          </rPr>
          <t xml:space="preserve">
(DSIPHY_T_HS_ZERO + 1) * 8</t>
        </r>
      </text>
    </comment>
    <comment ref="I12" authorId="1" shapeId="0">
      <text>
        <r>
          <rPr>
            <b/>
            <sz val="8"/>
            <color indexed="81"/>
            <rFont val="Tahoma"/>
            <family val="2"/>
          </rPr>
          <t>Qualcomm User:</t>
        </r>
        <r>
          <rPr>
            <sz val="8"/>
            <color indexed="81"/>
            <rFont val="Tahoma"/>
            <family val="2"/>
          </rPr>
          <t xml:space="preserve">
Tclk-prepare + Tclk-zero</t>
        </r>
      </text>
    </comment>
    <comment ref="C13" authorId="0" shapeId="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text>
        <r>
          <rPr>
            <b/>
            <sz val="9"/>
            <color indexed="81"/>
            <rFont val="Tahoma"/>
            <family val="2"/>
          </rPr>
          <t>Qualcomm User:</t>
        </r>
        <r>
          <rPr>
            <sz val="9"/>
            <color indexed="81"/>
            <rFont val="Tahoma"/>
            <family val="2"/>
          </rPr>
          <t xml:space="preserve">
t_clk_trail = 
(
DSIPHY_T_CLK_TRAIL+1)* 8</t>
        </r>
      </text>
    </comment>
    <comment ref="H14" authorId="1" shapeId="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text>
        <r>
          <rPr>
            <b/>
            <sz val="9"/>
            <color indexed="81"/>
            <rFont val="Tahoma"/>
            <family val="2"/>
          </rPr>
          <t>Qualcomm User:</t>
        </r>
        <r>
          <rPr>
            <sz val="9"/>
            <color indexed="81"/>
            <rFont val="Tahoma"/>
            <family val="2"/>
          </rPr>
          <t xml:space="preserve">
UI Calculation: (DSIPHY_T_HS_ZERO + 1) * 8</t>
        </r>
      </text>
    </comment>
    <comment ref="I15" authorId="1" shapeId="0">
      <text>
        <r>
          <rPr>
            <b/>
            <sz val="8"/>
            <color indexed="81"/>
            <rFont val="Tahoma"/>
            <family val="2"/>
          </rPr>
          <t>Qualcomm User:</t>
        </r>
        <r>
          <rPr>
            <sz val="8"/>
            <color indexed="81"/>
            <rFont val="Tahoma"/>
            <family val="2"/>
          </rPr>
          <t xml:space="preserve">
Ths-prepare + Ths-zero</t>
        </r>
      </text>
    </comment>
    <comment ref="C16" authorId="0" shapeId="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text>
        <r>
          <rPr>
            <b/>
            <sz val="9"/>
            <color indexed="81"/>
            <rFont val="Tahoma"/>
            <family val="2"/>
          </rPr>
          <t>Qualcomm User:</t>
        </r>
        <r>
          <rPr>
            <sz val="9"/>
            <color indexed="81"/>
            <rFont val="Tahoma"/>
            <family val="2"/>
          </rPr>
          <t xml:space="preserve">
t_hs_trail = (DSIPHY_T_HS_TRAIL+1) * 8
</t>
        </r>
      </text>
    </comment>
    <comment ref="G17" authorId="0" shapeId="0">
      <text>
        <r>
          <rPr>
            <b/>
            <sz val="8"/>
            <color indexed="81"/>
            <rFont val="Tahoma"/>
            <family val="2"/>
          </rPr>
          <t>Qualcomm:</t>
        </r>
        <r>
          <rPr>
            <sz val="8"/>
            <color indexed="81"/>
            <rFont val="Tahoma"/>
            <family val="2"/>
          </rPr>
          <t xml:space="preserve">
8UI control
program this to an integer close to bitclk / escclk </t>
        </r>
      </text>
    </comment>
    <comment ref="H17" authorId="0" shapeId="0">
      <text>
        <r>
          <rPr>
            <b/>
            <sz val="8"/>
            <color indexed="81"/>
            <rFont val="Tahoma"/>
            <family val="2"/>
          </rPr>
          <t>Qualcomm:</t>
        </r>
        <r>
          <rPr>
            <sz val="8"/>
            <color indexed="81"/>
            <rFont val="Tahoma"/>
            <family val="2"/>
          </rPr>
          <t xml:space="preserve">
(DSIPHY_T_HS_RQST + 1) * 8 - DSIPHY_HSTX_HALFBYTECLK_EN * 4</t>
        </r>
      </text>
    </comment>
    <comment ref="G18" authorId="0" shapeId="0">
      <text>
        <r>
          <rPr>
            <b/>
            <sz val="8"/>
            <color indexed="81"/>
            <rFont val="Tahoma"/>
            <family val="2"/>
          </rPr>
          <t>Qualcomm:</t>
        </r>
        <r>
          <rPr>
            <sz val="8"/>
            <color indexed="81"/>
            <rFont val="Tahoma"/>
            <family val="2"/>
          </rPr>
          <t xml:space="preserve">
4UI control
program this to an integer close to bitclk / escclk </t>
        </r>
      </text>
    </comment>
    <comment ref="H23" authorId="0" shapeId="0">
      <text>
        <r>
          <rPr>
            <b/>
            <sz val="8"/>
            <color indexed="81"/>
            <rFont val="Tahoma"/>
            <family val="2"/>
          </rPr>
          <t>Qualcomm:</t>
        </r>
        <r>
          <rPr>
            <sz val="8"/>
            <color indexed="81"/>
            <rFont val="Tahoma"/>
            <family val="2"/>
          </rPr>
          <t xml:space="preserve">
teot = t_hs_trail + avg treot.</t>
        </r>
      </text>
    </comment>
    <comment ref="H24" authorId="0" shapeId="0">
      <text>
        <r>
          <rPr>
            <b/>
            <sz val="8"/>
            <color indexed="81"/>
            <rFont val="Tahoma"/>
            <family val="2"/>
          </rPr>
          <t>Qualcomm:</t>
        </r>
        <r>
          <rPr>
            <sz val="8"/>
            <color indexed="81"/>
            <rFont val="Tahoma"/>
            <family val="2"/>
          </rPr>
          <t xml:space="preserve">
teot = t_clk_trail + avg 
treot.</t>
        </r>
      </text>
    </comment>
    <comment ref="H25" authorId="0" shapeId="0">
      <text>
        <r>
          <rPr>
            <b/>
            <sz val="8"/>
            <color indexed="81"/>
            <rFont val="Tahoma"/>
            <family val="2"/>
          </rPr>
          <t>Qualcomm:</t>
        </r>
        <r>
          <rPr>
            <sz val="8"/>
            <color indexed="81"/>
            <rFont val="Tahoma"/>
            <family val="2"/>
          </rPr>
          <t xml:space="preserve"> 
Expected T_clk_post
= (program value of t_clk_post + 1) * 16UI 
- (program value of t_hs_trail + 1) * 8 UI
-2.5UI 
</t>
        </r>
      </text>
    </comment>
    <comment ref="H26" authorId="0" shapeId="0">
      <text>
        <r>
          <rPr>
            <b/>
            <sz val="8"/>
            <color indexed="81"/>
            <rFont val="Tahoma"/>
            <family val="2"/>
          </rPr>
          <t xml:space="preserve">Qualcomm:
 </t>
        </r>
        <r>
          <rPr>
            <sz val="8"/>
            <color indexed="81"/>
            <rFont val="Tahoma"/>
            <family val="2"/>
          </rPr>
          <t xml:space="preserve">Expected T_clk_pre
= (program value of t_clk_pre + 1) x 16UI 
– (program value of t_clk_rqst +1) * 8UI 
– (program value of t_clk_prepare) * 8UI 
– (program value of t_clk_zero + 1) * 8UI
+ 2.5UI
</t>
        </r>
      </text>
    </comment>
    <comment ref="G27" authorId="0" shapeId="0">
      <text>
        <r>
          <rPr>
            <b/>
            <sz val="8"/>
            <color indexed="81"/>
            <rFont val="Tahoma"/>
            <family val="2"/>
          </rPr>
          <t>Qualcomm:</t>
        </r>
        <r>
          <rPr>
            <sz val="8"/>
            <color indexed="81"/>
            <rFont val="Tahoma"/>
            <family val="2"/>
          </rPr>
          <t xml:space="preserve">
8UI control
program this to an integer close to bitclk / escclk </t>
        </r>
      </text>
    </comment>
    <comment ref="H27" authorId="0" shapeId="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text>
        <r>
          <rPr>
            <b/>
            <sz val="8"/>
            <color indexed="81"/>
            <rFont val="Tahoma"/>
            <family val="2"/>
          </rPr>
          <t>Qualcomm:</t>
        </r>
        <r>
          <rPr>
            <sz val="8"/>
            <color indexed="81"/>
            <rFont val="Tahoma"/>
            <family val="2"/>
          </rPr>
          <t xml:space="preserve">
actual period at the DSI link</t>
        </r>
      </text>
    </comment>
    <comment ref="C33" authorId="2" shapeId="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H34" authorId="0" shapeId="0">
      <text>
        <r>
          <rPr>
            <b/>
            <sz val="8"/>
            <color indexed="81"/>
            <rFont val="Tahoma"/>
            <family val="2"/>
          </rPr>
          <t xml:space="preserve">Qualcomm:
</t>
        </r>
        <r>
          <rPr>
            <sz val="8"/>
            <color indexed="81"/>
            <rFont val="Tahoma"/>
            <family val="2"/>
          </rPr>
          <t xml:space="preserve">when DSIPHY_CMN_CTRL3.DSIPHY_RQST_SEL = 0, 
Expected T_clk_post
= (program value + 1) x 16UI - t_hs_trail
</t>
        </r>
      </text>
    </comment>
    <comment ref="B59" authorId="2" shapeId="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6.xml><?xml version="1.0" encoding="utf-8"?>
<comments xmlns="http://schemas.openxmlformats.org/spreadsheetml/2006/main">
  <authors>
    <author>Joao Pereira</author>
  </authors>
  <commentList>
    <comment ref="A10" authorId="0" shapeId="0">
      <text>
        <r>
          <rPr>
            <b/>
            <sz val="9"/>
            <color indexed="81"/>
            <rFont val="Tahoma"/>
            <family val="2"/>
          </rPr>
          <t>SNPS:</t>
        </r>
        <r>
          <rPr>
            <sz val="9"/>
            <color indexed="81"/>
            <rFont val="Tahoma"/>
            <family val="2"/>
          </rPr>
          <t xml:space="preserve">
Our counters consider 35ns for Treot </t>
        </r>
      </text>
    </comment>
    <comment ref="G31" authorId="0" shapeId="0">
      <text>
        <r>
          <rPr>
            <b/>
            <sz val="9"/>
            <color indexed="81"/>
            <rFont val="Tahoma"/>
            <family val="2"/>
          </rPr>
          <t xml:space="preserve">SNPS: 
</t>
        </r>
        <r>
          <rPr>
            <sz val="9"/>
            <color indexed="81"/>
            <rFont val="Tahoma"/>
            <family val="2"/>
          </rPr>
          <t>Maximum possible value</t>
        </r>
      </text>
    </comment>
  </commentList>
</comments>
</file>

<file path=xl/sharedStrings.xml><?xml version="1.0" encoding="utf-8"?>
<sst xmlns="http://schemas.openxmlformats.org/spreadsheetml/2006/main" count="4202" uniqueCount="600">
  <si>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</si>
  <si>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</si>
  <si>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</si>
  <si>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</si>
  <si>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</si>
  <si>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</si>
  <si>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</si>
  <si>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</si>
  <si>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</si>
  <si>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</si>
  <si>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</si>
  <si>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</si>
  <si>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</si>
  <si>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</si>
  <si>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</si>
  <si>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</si>
  <si>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</si>
  <si>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</si>
  <si>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</si>
  <si>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</si>
  <si>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</si>
  <si>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</si>
  <si>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</si>
  <si>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</si>
  <si>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</si>
  <si>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</si>
  <si>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</si>
  <si>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</si>
  <si>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</si>
  <si>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</si>
  <si>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</si>
  <si>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</si>
  <si>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</si>
  <si>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</si>
  <si>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</si>
  <si>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</si>
  <si>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</si>
  <si>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</si>
  <si>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</si>
  <si>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</si>
  <si>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</si>
  <si>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</si>
  <si>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</si>
  <si>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</si>
  <si>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</si>
  <si>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</si>
  <si>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</si>
  <si>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</si>
  <si>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</si>
  <si>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</si>
  <si>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</si>
  <si>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</si>
  <si>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</si>
  <si>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</si>
  <si>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</si>
  <si>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</si>
  <si>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</si>
  <si>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</si>
  <si>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</si>
  <si>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</si>
  <si>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</si>
  <si>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</si>
  <si>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</si>
  <si>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</si>
  <si>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</si>
  <si>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</si>
  <si>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</si>
  <si>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</si>
  <si>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</si>
  <si>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</si>
  <si>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</si>
  <si>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</si>
  <si>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</si>
  <si>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</si>
  <si>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</si>
  <si>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</si>
  <si>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</si>
  <si>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</si>
  <si>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</si>
  <si>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</si>
  <si>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</si>
  <si>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</si>
  <si>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</si>
  <si>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</si>
  <si>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</si>
  <si>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</si>
  <si>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</si>
  <si>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</si>
  <si>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</si>
  <si>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</si>
  <si>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</si>
  <si>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</si>
  <si>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</si>
  <si>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</si>
  <si>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</si>
  <si>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</si>
  <si>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</si>
  <si>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</si>
  <si>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</si>
  <si>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</si>
  <si>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</si>
  <si>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</si>
  <si>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</si>
  <si>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</si>
  <si>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</si>
  <si>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</si>
  <si>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</si>
  <si>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</si>
  <si>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</si>
  <si>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</si>
  <si>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DSI Timing Parameters</t>
  </si>
  <si>
    <t>User Interactive Spreadsheet</t>
  </si>
  <si>
    <t>Confidential and Proprietary – Qualcomm Technologies, Inc.</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</si>
  <si>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</si>
  <si>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</si>
  <si>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</si>
  <si>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</si>
  <si>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</si>
  <si>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</si>
  <si>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</si>
  <si>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</si>
  <si>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</si>
  <si>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</si>
  <si>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</si>
  <si>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</si>
  <si>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</si>
  <si>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</si>
  <si>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</si>
  <si>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</si>
  <si>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</si>
  <si>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</si>
  <si>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</si>
  <si>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</si>
  <si>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</si>
  <si>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</si>
  <si>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</si>
  <si>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</si>
  <si>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</si>
  <si>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</si>
  <si>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</si>
  <si>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</si>
  <si>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</si>
  <si>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</si>
  <si>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</si>
  <si>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</si>
  <si>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</si>
  <si>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</si>
  <si>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</si>
  <si>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</si>
  <si>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</si>
  <si>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</si>
  <si>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</si>
  <si>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</si>
  <si>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</si>
  <si>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</si>
  <si>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</si>
  <si>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</si>
  <si>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</si>
  <si>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</si>
  <si>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</si>
  <si>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</si>
  <si>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</si>
  <si>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</si>
  <si>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</si>
  <si>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</si>
  <si>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</si>
  <si>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</si>
  <si>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</si>
  <si>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</si>
  <si>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</si>
  <si>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</si>
  <si>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</si>
  <si>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</si>
  <si>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</si>
  <si>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</si>
  <si>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</si>
  <si>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</si>
  <si>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</si>
  <si>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</si>
  <si>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</si>
  <si>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</si>
  <si>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</si>
  <si>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</si>
  <si>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</si>
  <si>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</si>
  <si>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</si>
  <si>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</si>
  <si>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</si>
  <si>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</si>
  <si>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</si>
  <si>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</si>
  <si>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</si>
  <si>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</si>
  <si>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</si>
  <si>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</si>
  <si>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</si>
  <si>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</si>
  <si>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</si>
  <si>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</si>
  <si>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</si>
  <si>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</si>
  <si>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</si>
  <si>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</si>
  <si>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</si>
  <si>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</si>
  <si>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</si>
  <si>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 from min Tclk-zero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</si>
  <si>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</si>
  <si>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</si>
  <si>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</si>
  <si>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</si>
  <si>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</si>
  <si>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</si>
  <si>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</si>
  <si>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</si>
  <si>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</si>
  <si>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Qualcomm is a trademark of Qualcomm Incorporated, registered in the United States and other countries. Other product and brand names may be trademarks or registered trademarks of their respective owners.</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</si>
  <si>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</si>
  <si>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</si>
  <si>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</si>
  <si>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</si>
  <si>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</si>
  <si>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</si>
  <si>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</si>
  <si>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</si>
  <si>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</si>
  <si>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</si>
  <si>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</si>
  <si>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</si>
  <si>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</si>
  <si>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</si>
  <si>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</si>
  <si>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</si>
  <si>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</si>
  <si>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</si>
  <si>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</si>
  <si>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</si>
  <si>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</si>
  <si>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</si>
  <si>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DSI PHY 3.0.0 CPHY timing not yet avail, do not put 1 CPHY</t>
  </si>
  <si>
    <t>SDM660</t>
  </si>
  <si>
    <t>SDM630</t>
  </si>
  <si>
    <t>J</t>
  </si>
  <si>
    <t>SDM450</t>
  </si>
  <si>
    <t>K</t>
  </si>
  <si>
    <t>L</t>
  </si>
  <si>
    <t>May  2017</t>
  </si>
  <si>
    <t>Added SDM450 to applicable chipset</t>
  </si>
  <si>
    <t>M</t>
  </si>
  <si>
    <t>June  2017</t>
  </si>
  <si>
    <t>Added SDM845 to applicable chipset</t>
  </si>
  <si>
    <t>SDM845</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</si>
  <si>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</si>
  <si>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</si>
  <si>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</si>
  <si>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</si>
  <si>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</si>
  <si>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</si>
  <si>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</si>
  <si>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</si>
  <si>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</si>
  <si>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</si>
  <si>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</si>
  <si>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</si>
  <si>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</si>
  <si>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</si>
  <si>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</si>
  <si>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</si>
  <si>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</si>
  <si>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</si>
  <si>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</si>
  <si>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</si>
  <si>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</si>
  <si>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</si>
  <si>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</si>
  <si>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r>
      <t xml:space="preserve">NO PUBLIC DISCLOSURE PERMITTED: </t>
    </r>
    <r>
      <rPr>
        <sz val="8"/>
        <color theme="1"/>
        <rFont val="Arial"/>
        <family val="2"/>
      </rPr>
      <t xml:space="preserve">Please report postings of this document on public servers or websites to: DocCtrlAgent@qualcomm.com. </t>
    </r>
  </si>
  <si>
    <r>
      <rPr>
        <b/>
        <sz val="8"/>
        <color theme="1"/>
        <rFont val="Arial"/>
        <family val="2"/>
      </rPr>
      <t>Restricted Distribution</t>
    </r>
    <r>
      <rPr>
        <sz val="8"/>
        <color theme="1"/>
        <rFont val="Arial"/>
        <family val="2"/>
      </rPr>
      <t>: Not to be distributed to anyone who is not an employee of either Qualcomm Technologies, Inc. or its affiliated companies without the express approval of Qualcomm Configuration Management.</t>
    </r>
  </si>
  <si>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</si>
  <si>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</si>
  <si>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</si>
  <si>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</si>
  <si>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</si>
  <si>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</si>
  <si>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SDM636</t>
  </si>
  <si>
    <t>SDM670</t>
  </si>
  <si>
    <t>SDM710</t>
  </si>
  <si>
    <t>SDM632</t>
  </si>
  <si>
    <t>All Qualcomm products mentioned herein are products of Qualcomm Technologies, Inc. and/or its subsidiaries.</t>
  </si>
  <si>
    <t>© 2013-2018 Qualcomm Technologies, Inc. and/or its subsidiaries. All rights reserved.</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</si>
  <si>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</si>
  <si>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</si>
  <si>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</si>
  <si>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</si>
  <si>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</si>
  <si>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</si>
  <si>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</si>
  <si>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</si>
  <si>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</si>
  <si>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</si>
  <si>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</si>
  <si>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</si>
  <si>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</si>
  <si>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</si>
  <si>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</si>
  <si>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</si>
  <si>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</si>
  <si>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</si>
  <si>
    <t>T</t>
  </si>
  <si>
    <t>SDM439</t>
  </si>
  <si>
    <t>Is polarity ON?</t>
  </si>
  <si>
    <t>Tlpx (SNPS PHY)</t>
  </si>
  <si>
    <t>Tlpx (External PHY)</t>
  </si>
  <si>
    <t>Request_mask*</t>
  </si>
  <si>
    <t>Treot (HSTX_POFF_TIME)</t>
  </si>
  <si>
    <t>Mbps/lane</t>
  </si>
  <si>
    <t>byteclk</t>
  </si>
  <si>
    <t>Recommendation (ns)</t>
  </si>
  <si>
    <t>check theoretical value against spec requirement</t>
  </si>
  <si>
    <t>Ta-go (External PHY) 
vs
 Ta-sure (SNPS PHY)</t>
  </si>
  <si>
    <t>Additional comments</t>
  </si>
  <si>
    <t xml:space="preserve">Program default values </t>
  </si>
  <si>
    <t>Select hsfreqrange to ensure that on sims the T_CLK_PREPARE  matches cell E11</t>
  </si>
  <si>
    <t>second t_clk_prepare control (gtp_extension_clklane[3:0])</t>
  </si>
  <si>
    <t xml:space="preserve"> </t>
  </si>
  <si>
    <t>Select hsfreqrange to ensure that on sims the gtp_extension_clklane matches cell E12</t>
  </si>
  <si>
    <t>Select hsfreqrange to ensure that on sims the T_HS_PREPARE matches cell E15</t>
  </si>
  <si>
    <t>second t_hs_prepare control (gtp_extension_datalanes[3:0])</t>
  </si>
  <si>
    <t>Select hsfreqrange to ensure that on sims the gtp_extension_datalanes matches cell E16</t>
  </si>
  <si>
    <t>T_HS_RQST of data lane **</t>
  </si>
  <si>
    <t>T_HS_EXIT of data lane</t>
  </si>
  <si>
    <t>T_HS_EXIT of clock lane</t>
  </si>
  <si>
    <t>Set value 3</t>
  </si>
  <si>
    <t>T_TA_SURE (max)</t>
  </si>
  <si>
    <t>Value fixed to 1</t>
  </si>
  <si>
    <t>T_TA_SURE (min)</t>
  </si>
  <si>
    <t>Not programmable</t>
  </si>
  <si>
    <t>T_HS_RQST of clock lane ***</t>
  </si>
  <si>
    <t>overhead in data transmission (ns)</t>
  </si>
  <si>
    <t>overhead in data transmission (byteclk)</t>
  </si>
  <si>
    <t xml:space="preserve">mdss_dsi_[01]_phy_hstx_clklane_hs0state_tim_ctrl.hstxthszero_clklane_ovr </t>
  </si>
  <si>
    <t>mdss_dsi_[01]_phy_hstx_datalane_hs0state_tim_ctrl.hstxthszero_datalane_int</t>
  </si>
  <si>
    <t xml:space="preserve">mdss_dsi_[01]_phy_hstx_clklane_tralstate_tim_ctrl.hstxthstrail_clklane_ovr </t>
  </si>
  <si>
    <t>mdss_dsi_[01]_phy_hstx_datalane_trailstate_tim_ctrl.hstxthstrail_datalane_int</t>
  </si>
  <si>
    <t>mdss_dsi_[01]_phy_hstx_clklane_clkpoststate_tim_ctrl.hstxthsclkpost_clklane_ovr</t>
  </si>
  <si>
    <t xml:space="preserve">mdss_dsi_[01]_phy_hstx_clklane_reqstate_tim_ctrl.hstxthsrqst_clklane_ovr </t>
  </si>
  <si>
    <t>mdss_dsi_[01]_phy_hstx_datalane_reqstate_tim_ctrl.hstxthsrqst_datalane_int</t>
  </si>
  <si>
    <t xml:space="preserve">mdss_dsi_[01]_phy_hstx_clklane_exitstate_tim_ctrl.hstxthsexit_clklane_ovr </t>
  </si>
  <si>
    <t>mdss_dsi_[01]_phy_hstx_datalane_exitstate_tim_ctrl.hstxthsexit_datalane_int</t>
  </si>
  <si>
    <t xml:space="preserve">mdss_dsi_[01]_phy_t_ta_go_tim_count.ttago </t>
  </si>
  <si>
    <t xml:space="preserve">mdss_dsi_[01]_phy_t_ta_sure_tim_count.ttasure </t>
  </si>
  <si>
    <t>mdss_dsi_[01]_phy_hstx_clklane_hs0state_tim_ctrl.hstxthszero_ovr_en_clklane</t>
  </si>
  <si>
    <t xml:space="preserve">mdss_dsi_[01]_phy_hstx_datalane_hs0state_tim_ctrl.hstxthszero_ovr_en_datalanes </t>
  </si>
  <si>
    <t xml:space="preserve">mdss_dsi_[01]_phy_hstx_clklane_tralstate_tim_ctrl.hstxthstrail_ovr_en_clklane </t>
  </si>
  <si>
    <t xml:space="preserve">mdss_dsi_[01]_phy_hstx_datalane_trailstate_tim_ctrl.hstxthstrail_ovr_en_datalanes </t>
  </si>
  <si>
    <t xml:space="preserve">mdss_dsi_[01]_phy_hstx_clklane_clkpoststate_tim_ctrl.hstxthsclkpost_ovr_en_clklane </t>
  </si>
  <si>
    <t xml:space="preserve">mdss_dsi_[01]_phy_hstx_clklane_exitstate_tim_ctrl.hstxthsrqst_ovr_en_clklane </t>
  </si>
  <si>
    <t xml:space="preserve">mdss_dsi_[01]_phy_hstx_datalane_exitstate_tim_ctrl.hstxthsrqst_ovr_en_datalanes </t>
  </si>
  <si>
    <t>mdss_dsi_[01]_phy_hstx_clklane_exitstate_tim_ctrl.hstxthsexit_ovr_en_clklane</t>
  </si>
  <si>
    <t xml:space="preserve">mdss_dsi_[01]_phy_hstx_datalane_exitstate_tim_ctrl.hstxthsexit_ovr_en_datalanes </t>
  </si>
  <si>
    <t>TXBYTECLKHS (ns)</t>
  </si>
  <si>
    <r>
      <t>Φ</t>
    </r>
    <r>
      <rPr>
        <vertAlign val="subscript"/>
        <sz val="10"/>
        <color theme="1"/>
        <rFont val="Arial"/>
        <family val="2"/>
      </rPr>
      <t>TXBYTECLKHS-TXWORDCLKHS (ns)</t>
    </r>
  </si>
  <si>
    <t>Δserializer (ns)</t>
  </si>
  <si>
    <t>WADDR-RADDR</t>
  </si>
  <si>
    <t>HSTX_TEN_DELAY (ns)</t>
  </si>
  <si>
    <t>HSTX_POFF_TIME (ns)</t>
  </si>
  <si>
    <t>LPTX_IO_FALL_DELAY (ns)</t>
  </si>
  <si>
    <t>gtp_extension_clklane[3]*(TXBYTECLKHS/4+gtp_extension_clklane[2:0]*TXBYTECLKHS/8) (ns)</t>
  </si>
  <si>
    <t>gtp_extension_datalanes[3]*(TXBYTECLKHS/4+gtp_extension_datalanes[2:0]*TXBYTECLKHS/8) (ns)</t>
  </si>
  <si>
    <t>LPRX_IO_DELAY_RISE (ns)</t>
  </si>
  <si>
    <t xml:space="preserve">LPTX_IO_DP_DN_FALL_DELTA (ns)
</t>
  </si>
  <si>
    <t>IN</t>
  </si>
  <si>
    <t>7'b0000000</t>
  </si>
  <si>
    <t>:</t>
  </si>
  <si>
    <t>hstxthsrqst_datalanes</t>
  </si>
  <si>
    <t>=</t>
  </si>
  <si>
    <t>hstxthsrqst_ovr_en_datalanes</t>
  </si>
  <si>
    <t>?</t>
  </si>
  <si>
    <t>hstxthsrqst_datalanes_ovr</t>
  </si>
  <si>
    <t>8'd4</t>
  </si>
  <si>
    <t>//</t>
  </si>
  <si>
    <t>7'b0010000</t>
  </si>
  <si>
    <t>8'd5</t>
  </si>
  <si>
    <t>7'b0100000</t>
  </si>
  <si>
    <t>7'b0110000</t>
  </si>
  <si>
    <t>8'd6</t>
  </si>
  <si>
    <t>7'b0000001</t>
  </si>
  <si>
    <t>8'd7</t>
  </si>
  <si>
    <t>7'b0010001</t>
  </si>
  <si>
    <t>7'b0100001</t>
  </si>
  <si>
    <t>8'd8</t>
  </si>
  <si>
    <t>7'b0110001</t>
  </si>
  <si>
    <t>8'd9</t>
  </si>
  <si>
    <t>7'b0000010</t>
  </si>
  <si>
    <t>7'b0010010</t>
  </si>
  <si>
    <t>8'd10</t>
  </si>
  <si>
    <t>7'b0100010</t>
  </si>
  <si>
    <t>7'b0110010</t>
  </si>
  <si>
    <t>8'd11</t>
  </si>
  <si>
    <t>7'b0000011</t>
  </si>
  <si>
    <t>8'd12</t>
  </si>
  <si>
    <t>7'b0010011</t>
  </si>
  <si>
    <t>8'd13</t>
  </si>
  <si>
    <t>7'b0100011</t>
  </si>
  <si>
    <t>8'd14</t>
  </si>
  <si>
    <t>7'b0110011</t>
  </si>
  <si>
    <t>8'd16</t>
  </si>
  <si>
    <t>7'b0000100</t>
  </si>
  <si>
    <t>8'd17</t>
  </si>
  <si>
    <t>7'b0010100</t>
  </si>
  <si>
    <t>8'd19</t>
  </si>
  <si>
    <t>7'b0100101</t>
  </si>
  <si>
    <t>8'd21</t>
  </si>
  <si>
    <t>7'b0110101</t>
  </si>
  <si>
    <t>8'd23</t>
  </si>
  <si>
    <t>7'b0000101</t>
  </si>
  <si>
    <t>8'd26</t>
  </si>
  <si>
    <t>7'b0010110</t>
  </si>
  <si>
    <t>8'd30</t>
  </si>
  <si>
    <t>7'b0100110</t>
  </si>
  <si>
    <t>8'd33</t>
  </si>
  <si>
    <t>7'b0110111</t>
  </si>
  <si>
    <t>8'd36</t>
  </si>
  <si>
    <t>7'b0000111</t>
  </si>
  <si>
    <t>8'd40</t>
  </si>
  <si>
    <t>7'b0011000</t>
  </si>
  <si>
    <t>8'd43</t>
  </si>
  <si>
    <t>7'b0101000</t>
  </si>
  <si>
    <t>8'd46</t>
  </si>
  <si>
    <t>7'b0111001</t>
  </si>
  <si>
    <t>8'd49</t>
  </si>
  <si>
    <t>7'b0001001</t>
  </si>
  <si>
    <t>8'd53</t>
  </si>
  <si>
    <t>7'b0011001</t>
  </si>
  <si>
    <t>8'd56</t>
  </si>
  <si>
    <t>7'b0101001</t>
  </si>
  <si>
    <t>8'd59</t>
  </si>
  <si>
    <t>7'b0111010</t>
  </si>
  <si>
    <t>8'd62</t>
  </si>
  <si>
    <t>7'b0001010</t>
  </si>
  <si>
    <t>8'd66</t>
  </si>
  <si>
    <t>7'b0011010</t>
  </si>
  <si>
    <t>8'd69</t>
  </si>
  <si>
    <t>7'b0101010</t>
  </si>
  <si>
    <t>8'd72</t>
  </si>
  <si>
    <t>7'b0111011</t>
  </si>
  <si>
    <t>8'd76</t>
  </si>
  <si>
    <t>7'b0001011</t>
  </si>
  <si>
    <t>8'd79</t>
  </si>
  <si>
    <t>7'b0011011</t>
  </si>
  <si>
    <t>8'd82</t>
  </si>
  <si>
    <t>7'b0101011</t>
  </si>
  <si>
    <t>8'd85</t>
  </si>
  <si>
    <t>7'b0111100</t>
  </si>
  <si>
    <t>8'd89</t>
  </si>
  <si>
    <t>7'b0001100</t>
  </si>
  <si>
    <t>8'd92</t>
  </si>
  <si>
    <t>7'b0011100</t>
  </si>
  <si>
    <t>8'd95</t>
  </si>
  <si>
    <t>7'b0101100</t>
  </si>
  <si>
    <t>8'd99</t>
  </si>
  <si>
    <t>7'b0111101</t>
  </si>
  <si>
    <t>8'd102</t>
  </si>
  <si>
    <t>7'b0001101</t>
  </si>
  <si>
    <t>8'd105</t>
  </si>
  <si>
    <t>7'b0011101</t>
  </si>
  <si>
    <t>8'd108</t>
  </si>
  <si>
    <t>7'b0101110</t>
  </si>
  <si>
    <t>8'd112</t>
  </si>
  <si>
    <t>7'b0111110</t>
  </si>
  <si>
    <t>8'd115</t>
  </si>
  <si>
    <t>7'b0001110</t>
  </si>
  <si>
    <t>8'd118</t>
  </si>
  <si>
    <t>7'b0011110</t>
  </si>
  <si>
    <t>8'd122</t>
  </si>
  <si>
    <t>7'b0101111</t>
  </si>
  <si>
    <t>8'd125</t>
  </si>
  <si>
    <t>7'b0111111</t>
  </si>
  <si>
    <t>8'd128</t>
  </si>
  <si>
    <t>7'b0001111</t>
  </si>
  <si>
    <t>8'd131</t>
  </si>
  <si>
    <t>7'b1000000</t>
  </si>
  <si>
    <t>8'd135</t>
  </si>
  <si>
    <t>7'b1000001</t>
  </si>
  <si>
    <t>8'd138</t>
  </si>
  <si>
    <t>7'b1000010</t>
  </si>
  <si>
    <t>8'd141</t>
  </si>
  <si>
    <t>7'b1000011</t>
  </si>
  <si>
    <t>8'd145</t>
  </si>
  <si>
    <t>7'b1000100</t>
  </si>
  <si>
    <t>8'd148</t>
  </si>
  <si>
    <t>7'b1000101</t>
  </si>
  <si>
    <t>8'd151</t>
  </si>
  <si>
    <t>7'b1000110</t>
  </si>
  <si>
    <t>8'd155</t>
  </si>
  <si>
    <t>7'b1000111</t>
  </si>
  <si>
    <t>7'b1001000</t>
  </si>
  <si>
    <t>7'b1001001</t>
  </si>
  <si>
    <t>OUT</t>
  </si>
  <si>
    <t>gtp_clocklanes</t>
  </si>
  <si>
    <t>gtp_extension_clklane</t>
  </si>
  <si>
    <t>(gtp_extension_clklane_ovr_en)</t>
  </si>
  <si>
    <t>gtp_extension_clklane_ovr</t>
  </si>
  <si>
    <t>{1'b1,3'd5};</t>
  </si>
  <si>
    <t>{1'b1,3'd6};</t>
  </si>
  <si>
    <t>{1'b1,3'd7};</t>
  </si>
  <si>
    <t>{1'b1,3'd0};</t>
  </si>
  <si>
    <t>{1'b1,3'd1};</t>
  </si>
  <si>
    <t>{1'b1,3'd2};</t>
  </si>
  <si>
    <t>{1'b1,3'd3};</t>
  </si>
  <si>
    <t>{1'b1,3'd4};</t>
  </si>
  <si>
    <t>{1'b0,3'd0};</t>
  </si>
  <si>
    <t>gtp_datalanes</t>
  </si>
  <si>
    <t>gtp_extension_datalanes</t>
  </si>
  <si>
    <t>(gtp_extension_datalanes_ovr_en)</t>
  </si>
  <si>
    <t>gtp_extension_datalanes_ovr</t>
  </si>
  <si>
    <t>hstxthsprpr_clocklanes</t>
  </si>
  <si>
    <t>hstxthsprpr_clklane</t>
  </si>
  <si>
    <t>hstxthsprpr_ovr_en_clklane</t>
  </si>
  <si>
    <t>hstxthsprpr_clklane_ovr</t>
  </si>
  <si>
    <t>{6'd0 };</t>
  </si>
  <si>
    <t>{6'd1 };</t>
  </si>
  <si>
    <t>{6'd2 };</t>
  </si>
  <si>
    <t>{6'd3 };</t>
  </si>
  <si>
    <t>{6'd4 };</t>
  </si>
  <si>
    <t>{6'd5 };</t>
  </si>
  <si>
    <t>{6'd6 };</t>
  </si>
  <si>
    <t>{6'd7 };</t>
  </si>
  <si>
    <t>{6'd8 };</t>
  </si>
  <si>
    <t>{6'd9 };</t>
  </si>
  <si>
    <t>{6'd10};</t>
  </si>
  <si>
    <t>{6'd11};</t>
  </si>
  <si>
    <t>{6'd12};</t>
  </si>
  <si>
    <t>{6'd13};</t>
  </si>
  <si>
    <t>{6'd14};</t>
  </si>
  <si>
    <t>{6'd15};</t>
  </si>
  <si>
    <t>{6'd16};</t>
  </si>
  <si>
    <t>{6'd17};</t>
  </si>
  <si>
    <t>{6'd18};</t>
  </si>
  <si>
    <t>{6'd19};</t>
  </si>
  <si>
    <t>{6'd20};</t>
  </si>
  <si>
    <t>{6'd21};</t>
  </si>
  <si>
    <t>{6'd22};</t>
  </si>
  <si>
    <t>{6'd23};</t>
  </si>
  <si>
    <t>{6'd24};</t>
  </si>
  <si>
    <t>{6'd25};</t>
  </si>
  <si>
    <t>hstxthsprpr_datalanes</t>
  </si>
  <si>
    <t>hstxthsprpr_ovr_en_datalanes</t>
  </si>
  <si>
    <t>hstxthsprpr_datalanes_ovr</t>
  </si>
  <si>
    <t xml:space="preserve"> comment</t>
  </si>
  <si>
    <t>Y</t>
  </si>
  <si>
    <t>SDM429</t>
  </si>
  <si>
    <t>June 2018</t>
  </si>
  <si>
    <t>Added SDM439 and SDM429 to applicable chipset
Added tabs "SDM439 DPHY timing", "T_HS_RQST", "GTP_clocklanes", "GTP_datalanes", "PREPARE_clocklanes", and "PREPARE_datalanes" for SDM439 and SDM429
Updated DSIPHY_T_TA_GO to 2 in "DSI PHY 2.0.0 timing setting", "DSI PHY 3.0.0 DPHY timing" and 
"DSI PHY 4.0.0 DPHY timing" tabs</t>
  </si>
  <si>
    <t>U</t>
  </si>
  <si>
    <t>July 2018</t>
  </si>
  <si>
    <t>Updated T_CLK_POST calculation in "SDM439 DPHY timing" tab</t>
  </si>
  <si>
    <t>mdss_dsi_[01]_phy_mipi_dsi_phy_req_dly.req_dly</t>
  </si>
  <si>
    <t>mdss_dsi_[01]_phy_mipi_dsi_phy_req_dly.req_dly_en</t>
  </si>
  <si>
    <t>2. SDM439/SDM429 PHY registers</t>
  </si>
  <si>
    <t>SDM439/SDM429 PHY Registers</t>
  </si>
  <si>
    <t>SM6150</t>
  </si>
  <si>
    <t>V</t>
  </si>
  <si>
    <t>hsync packet transfer time for event or burst video traffic mode (us)</t>
  </si>
  <si>
    <t>hsync packet transfer time for pulse video traffic mode (us)</t>
  </si>
  <si>
    <t>DMA command packet size (byte)</t>
  </si>
  <si>
    <t>panel's Tlpx period (ns)</t>
  </si>
  <si>
    <t>DMA power mode (0=HS; 1=LP)</t>
  </si>
  <si>
    <t>DMA command transfer time (ns)</t>
  </si>
  <si>
    <t>max read packet size (byte)</t>
  </si>
  <si>
    <t>video traffic mode (0=pulse; 1=event; 2 = burst)</t>
  </si>
  <si>
    <t xml:space="preserve">enter the following information in blue for max DMA transfer time calculation </t>
  </si>
  <si>
    <t>enter the following information in blue for max panel read response calculation</t>
  </si>
  <si>
    <t>DSI controller major version</t>
  </si>
  <si>
    <t>DSI controller minor version</t>
  </si>
  <si>
    <t>time allowed for DMA+BTA+panel response packet transfer (ns)</t>
  </si>
  <si>
    <t>max HS DMA transfer size (assume no BTA) (in bytes)</t>
  </si>
  <si>
    <t>max LP DMA transfer size (assume no BTA) (in bytes)</t>
  </si>
  <si>
    <t>LP-HS transition time for HS DMA power mode (us)</t>
  </si>
  <si>
    <t>LP-HS transition time for LP DMA power mode (us)</t>
  </si>
  <si>
    <t>Maximum Size Calculation of DMA Packet or Read Packet in Video Mode Operation</t>
  </si>
  <si>
    <t>80-NH713-1 V</t>
  </si>
  <si>
    <t>SDM455</t>
  </si>
  <si>
    <t>SDM712</t>
  </si>
  <si>
    <t>QM215</t>
  </si>
  <si>
    <t>SA8155</t>
  </si>
  <si>
    <t>SA6155</t>
  </si>
  <si>
    <t>QCS40X</t>
  </si>
  <si>
    <t>QCS603</t>
  </si>
  <si>
    <t>QCS605</t>
  </si>
  <si>
    <t>QCS610</t>
  </si>
  <si>
    <t>SM8150</t>
  </si>
  <si>
    <t xml:space="preserve">Added Maximum Size Calculation of DMA Packet or Read Packet in Video Mode Operation in "DSI and MDP registers" tab. 
Added  the following chipsets to  applicable chips in "User Instructions" tab: SC8180X, SM6150, SDM455, SDM712, QM215, SA8155, SA6155, QCS40X, QCS603, QCS605, and QCS610.
Changed SDM855 to SM8150
</t>
  </si>
  <si>
    <t>SC8180X</t>
  </si>
  <si>
    <t xml:space="preserve">3.   Click the "Check" button from the "DSI Timing Program" ribbon.  </t>
  </si>
  <si>
    <t>4.   If C25=1, Click "Reset" from the "DSI Timing Program" ribbon</t>
  </si>
  <si>
    <t>6.   Use the PHY timing register settings generated in cell B80:C102</t>
  </si>
  <si>
    <t>5.   If C25 = 1, Click "Validate" to validate T_CLK_ZERO.  Cell G4 on the "DSI PHY Timing Settings" worksheet should state "VALID" after performing this step.</t>
  </si>
  <si>
    <t>December 05, 2018</t>
  </si>
  <si>
    <t>December 2018</t>
  </si>
  <si>
    <t xml:space="preserve">1.   Enter the DSI video prameters on the "DSI and MDP Registers" worksheet, select chipset from Cell C24 (it picks up PHY timing and copies it to main tab).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</si>
</sst>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000000"/>
    <numFmt numFmtId="177" formatCode="[$-409]mmmm\ d\,\ yyyy;@"/>
    <numFmt numFmtId="178" formatCode="mmmm\ yyyy"/>
    <numFmt numFmtId="179" formatCode="[$-409]d\-mmm\-yy;@"/>
  </numFmts>
  <fonts count="63" x14ac:knownFonts="1">
    <font>
      <sz val="10"/>
      <color theme="1"/>
      <name val="Arial"/>
      <family val="2"/>
    </font>
    <font>
      <sz val="11"/>
      <color theme="1"/>
      <name val="宋体"/>
      <family val="2"/>
      <scheme val="minor"/>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b/>
      <i/>
      <sz val="24"/>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b/>
      <sz val="10"/>
      <color theme="8" tint="-0.249977111117893"/>
      <name val="Arial"/>
      <family val="2"/>
    </font>
    <font>
      <b/>
      <i/>
      <sz val="10"/>
      <name val="Arial"/>
      <family val="2"/>
    </font>
    <font>
      <sz val="14"/>
      <name val="Arial"/>
      <family val="2"/>
    </font>
    <font>
      <sz val="12"/>
      <name val="Times New Roman"/>
      <family val="1"/>
    </font>
    <font>
      <b/>
      <sz val="22"/>
      <name val="Arial"/>
      <family val="2"/>
    </font>
    <font>
      <sz val="18"/>
      <name val="Arial"/>
      <family val="2"/>
    </font>
    <font>
      <sz val="12"/>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sz val="8"/>
      <color theme="1"/>
      <name val="Arial"/>
      <family val="2"/>
    </font>
    <font>
      <b/>
      <sz val="8"/>
      <color theme="1"/>
      <name val="Arial"/>
      <family val="2"/>
    </font>
    <font>
      <b/>
      <sz val="11"/>
      <color theme="1"/>
      <name val="宋体"/>
      <family val="2"/>
      <scheme val="minor"/>
    </font>
    <font>
      <vertAlign val="subscript"/>
      <sz val="10"/>
      <color theme="1"/>
      <name val="Arial"/>
      <family val="2"/>
    </font>
    <font>
      <sz val="11"/>
      <color rgb="FF009600"/>
      <name val="宋体"/>
      <family val="2"/>
      <scheme val="minor"/>
    </font>
    <font>
      <sz val="11"/>
      <color theme="0"/>
      <name val="宋体"/>
      <family val="2"/>
      <scheme val="minor"/>
    </font>
    <font>
      <sz val="10"/>
      <color theme="3" tint="0.39997558519241921"/>
      <name val="Arial"/>
      <family val="2"/>
    </font>
    <font>
      <sz val="9"/>
      <name val="宋体"/>
      <family val="3"/>
      <charset val="134"/>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
      <patternFill patternType="solid">
        <fgColor theme="4" tint="0.59999389629810485"/>
        <bgColor indexed="64"/>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95">
    <xf numFmtId="0" fontId="0" fillId="0" borderId="0"/>
    <xf numFmtId="0" fontId="17" fillId="0" borderId="0"/>
    <xf numFmtId="0" fontId="2" fillId="0" borderId="0"/>
    <xf numFmtId="0" fontId="2" fillId="0" borderId="0"/>
    <xf numFmtId="0" fontId="2" fillId="0" borderId="0"/>
    <xf numFmtId="0" fontId="14" fillId="0" borderId="0"/>
    <xf numFmtId="0" fontId="14" fillId="0" borderId="0"/>
    <xf numFmtId="0" fontId="14" fillId="0" borderId="0"/>
    <xf numFmtId="0" fontId="2" fillId="0" borderId="0"/>
    <xf numFmtId="0" fontId="2" fillId="0" borderId="0"/>
    <xf numFmtId="0" fontId="2" fillId="0" borderId="0"/>
    <xf numFmtId="0" fontId="2" fillId="0" borderId="0"/>
    <xf numFmtId="0" fontId="8" fillId="0" borderId="0"/>
    <xf numFmtId="0" fontId="39" fillId="0" borderId="0"/>
    <xf numFmtId="0" fontId="38" fillId="5" borderId="0" applyNumberFormat="0" applyBorder="0" applyAlignment="0" applyProtection="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14" fillId="0" borderId="0"/>
    <xf numFmtId="179" fontId="14" fillId="0" borderId="0"/>
    <xf numFmtId="0" fontId="2" fillId="0" borderId="0"/>
    <xf numFmtId="179" fontId="14" fillId="0" borderId="0"/>
    <xf numFmtId="179" fontId="14" fillId="0" borderId="0"/>
    <xf numFmtId="0" fontId="2" fillId="0" borderId="0"/>
    <xf numFmtId="0" fontId="2" fillId="0" borderId="0"/>
    <xf numFmtId="179" fontId="14" fillId="0" borderId="0"/>
    <xf numFmtId="179" fontId="14" fillId="0" borderId="0"/>
    <xf numFmtId="179" fontId="14" fillId="0" borderId="0"/>
    <xf numFmtId="179" fontId="8" fillId="0" borderId="0"/>
    <xf numFmtId="179" fontId="8" fillId="0" borderId="0"/>
    <xf numFmtId="177" fontId="43" fillId="0" borderId="0" applyBorder="0"/>
    <xf numFmtId="177" fontId="8" fillId="0" borderId="0"/>
    <xf numFmtId="177" fontId="49" fillId="0" borderId="0" applyBorder="0"/>
    <xf numFmtId="177" fontId="8" fillId="0" borderId="0" applyBorder="0"/>
    <xf numFmtId="177" fontId="53" fillId="0" borderId="0" applyBorder="0"/>
    <xf numFmtId="177" fontId="8" fillId="0" borderId="0" applyBorder="0"/>
  </cellStyleXfs>
  <cellXfs count="189">
    <xf numFmtId="0" fontId="0" fillId="0" borderId="0" xfId="0"/>
    <xf numFmtId="0" fontId="4" fillId="0" borderId="0" xfId="0" applyFont="1"/>
    <xf numFmtId="0" fontId="5" fillId="0" borderId="0" xfId="0" applyFont="1" applyAlignment="1">
      <alignment horizontal="center"/>
    </xf>
    <xf numFmtId="0" fontId="3" fillId="0" borderId="0" xfId="0" applyFont="1"/>
    <xf numFmtId="0" fontId="0" fillId="0" borderId="0" xfId="0" applyAlignment="1">
      <alignment horizontal="center"/>
    </xf>
    <xf numFmtId="0" fontId="9" fillId="0" borderId="0" xfId="0" applyFont="1" applyAlignment="1">
      <alignment horizontal="center"/>
    </xf>
    <xf numFmtId="0" fontId="3" fillId="0" borderId="0" xfId="0" applyFont="1" applyAlignment="1">
      <alignment horizontal="center"/>
    </xf>
    <xf numFmtId="0" fontId="8" fillId="0" borderId="0" xfId="0" applyFont="1" applyAlignment="1">
      <alignment horizontal="right"/>
    </xf>
    <xf numFmtId="0" fontId="12" fillId="0" borderId="0" xfId="0" applyFont="1"/>
    <xf numFmtId="2" fontId="8" fillId="0" borderId="0" xfId="0" applyNumberFormat="1" applyFont="1"/>
    <xf numFmtId="0" fontId="5" fillId="0" borderId="0" xfId="0" applyFont="1" applyFill="1"/>
    <xf numFmtId="0" fontId="0" fillId="3" borderId="0" xfId="0" applyFill="1"/>
    <xf numFmtId="0" fontId="12"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3" fillId="2" borderId="1" xfId="0" applyFont="1" applyFill="1" applyBorder="1" applyAlignment="1">
      <alignment horizontal="center" vertical="center"/>
    </xf>
    <xf numFmtId="9" fontId="3" fillId="2" borderId="1" xfId="0" applyNumberFormat="1" applyFont="1" applyFill="1" applyBorder="1" applyAlignment="1">
      <alignment horizontal="center"/>
    </xf>
    <xf numFmtId="0" fontId="3"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3" fillId="2" borderId="1" xfId="0" applyFont="1" applyFill="1" applyBorder="1"/>
    <xf numFmtId="0" fontId="0" fillId="0" borderId="1" xfId="0" applyNumberFormat="1" applyBorder="1" applyAlignment="1">
      <alignment horizontal="center"/>
    </xf>
    <xf numFmtId="0" fontId="0" fillId="0" borderId="1" xfId="0" applyBorder="1"/>
    <xf numFmtId="0" fontId="3" fillId="2" borderId="3" xfId="0" applyFont="1" applyFill="1" applyBorder="1" applyAlignment="1">
      <alignment horizontal="center" vertical="center"/>
    </xf>
    <xf numFmtId="0" fontId="3" fillId="0" borderId="3" xfId="0" applyFont="1" applyBorder="1" applyAlignment="1">
      <alignment horizontal="center"/>
    </xf>
    <xf numFmtId="0" fontId="8" fillId="2" borderId="1" xfId="0" applyFont="1" applyFill="1" applyBorder="1"/>
    <xf numFmtId="0" fontId="5" fillId="2" borderId="1" xfId="0" applyFont="1" applyFill="1" applyBorder="1"/>
    <xf numFmtId="0" fontId="3" fillId="0" borderId="1" xfId="0" applyFont="1" applyBorder="1"/>
    <xf numFmtId="0" fontId="8" fillId="0" borderId="0" xfId="12" applyAlignment="1">
      <alignment vertical="center"/>
    </xf>
    <xf numFmtId="0" fontId="19" fillId="0" borderId="4" xfId="12" applyFont="1" applyBorder="1" applyAlignment="1">
      <alignment vertical="center" wrapText="1"/>
    </xf>
    <xf numFmtId="0" fontId="19" fillId="0" borderId="5" xfId="12" applyFont="1" applyBorder="1" applyAlignment="1">
      <alignment horizontal="center" vertical="center" wrapText="1"/>
    </xf>
    <xf numFmtId="0" fontId="20" fillId="0" borderId="6" xfId="12" applyFont="1" applyBorder="1" applyAlignment="1">
      <alignment horizontal="center" vertical="center" wrapText="1"/>
    </xf>
    <xf numFmtId="0" fontId="20" fillId="0" borderId="7" xfId="12" applyFont="1" applyBorder="1" applyAlignment="1">
      <alignment horizontal="center" vertical="center" wrapText="1"/>
    </xf>
    <xf numFmtId="0" fontId="19" fillId="0" borderId="0" xfId="12" applyFont="1" applyBorder="1" applyAlignment="1">
      <alignment horizontal="center" vertical="center" wrapText="1"/>
    </xf>
    <xf numFmtId="0" fontId="20" fillId="0" borderId="0" xfId="12" applyFont="1" applyBorder="1" applyAlignment="1">
      <alignment horizontal="center" vertical="center" wrapText="1"/>
    </xf>
    <xf numFmtId="0" fontId="8" fillId="0" borderId="0" xfId="0" applyFont="1"/>
    <xf numFmtId="0" fontId="8" fillId="0" borderId="0" xfId="0" applyFont="1" applyAlignment="1">
      <alignment vertical="center"/>
    </xf>
    <xf numFmtId="0" fontId="22" fillId="0" borderId="0" xfId="0" applyFont="1" applyAlignment="1">
      <alignment vertical="center"/>
    </xf>
    <xf numFmtId="0" fontId="5" fillId="2" borderId="1" xfId="0" applyFont="1" applyFill="1" applyBorder="1" applyAlignment="1">
      <alignment horizontal="center" vertical="center"/>
    </xf>
    <xf numFmtId="0" fontId="3" fillId="2" borderId="1" xfId="0" applyFont="1" applyFill="1" applyBorder="1" applyAlignment="1">
      <alignment horizontal="center"/>
    </xf>
    <xf numFmtId="0" fontId="23" fillId="0" borderId="0" xfId="0" applyFont="1"/>
    <xf numFmtId="2" fontId="23" fillId="0" borderId="0" xfId="0" applyNumberFormat="1" applyFont="1"/>
    <xf numFmtId="0" fontId="24" fillId="0" borderId="0" xfId="0" applyFont="1"/>
    <xf numFmtId="0" fontId="25" fillId="0" borderId="0" xfId="0" applyFont="1"/>
    <xf numFmtId="0" fontId="0" fillId="0" borderId="0" xfId="0" applyFill="1"/>
    <xf numFmtId="0" fontId="26" fillId="0" borderId="0" xfId="0" applyFont="1"/>
    <xf numFmtId="0" fontId="27" fillId="0" borderId="0" xfId="0" applyFont="1"/>
    <xf numFmtId="0" fontId="28" fillId="0" borderId="0" xfId="0" applyFont="1" applyAlignment="1">
      <alignment horizontal="right"/>
    </xf>
    <xf numFmtId="0" fontId="23" fillId="0" borderId="0" xfId="0" applyFont="1" applyAlignment="1">
      <alignment horizontal="right"/>
    </xf>
    <xf numFmtId="176" fontId="8" fillId="0" borderId="0" xfId="0" applyNumberFormat="1" applyFont="1" applyAlignment="1">
      <alignment horizontal="right"/>
    </xf>
    <xf numFmtId="0" fontId="29" fillId="0" borderId="0" xfId="0" applyFont="1"/>
    <xf numFmtId="0" fontId="28" fillId="0" borderId="0" xfId="0" applyFont="1"/>
    <xf numFmtId="0" fontId="13" fillId="0" borderId="0" xfId="0" applyFont="1"/>
    <xf numFmtId="0" fontId="4" fillId="3" borderId="0" xfId="0" applyFont="1" applyFill="1"/>
    <xf numFmtId="0" fontId="30" fillId="0" borderId="0" xfId="0" applyFont="1"/>
    <xf numFmtId="0" fontId="31" fillId="0" borderId="0" xfId="0" applyFont="1" applyAlignment="1">
      <alignment horizontal="right"/>
    </xf>
    <xf numFmtId="0" fontId="32" fillId="0" borderId="0" xfId="0" applyFont="1"/>
    <xf numFmtId="0" fontId="14" fillId="0" borderId="0" xfId="0" applyFont="1" applyAlignment="1">
      <alignment horizontal="right"/>
    </xf>
    <xf numFmtId="0" fontId="33" fillId="0" borderId="0" xfId="0" applyFont="1"/>
    <xf numFmtId="1" fontId="33" fillId="0" borderId="0" xfId="0" applyNumberFormat="1" applyFont="1"/>
    <xf numFmtId="0" fontId="34" fillId="0" borderId="0" xfId="0" applyFont="1"/>
    <xf numFmtId="0" fontId="35" fillId="0" borderId="0" xfId="0" applyFont="1"/>
    <xf numFmtId="0" fontId="36" fillId="3" borderId="0" xfId="0" applyFont="1" applyFill="1"/>
    <xf numFmtId="2" fontId="8" fillId="4" borderId="1" xfId="0" applyNumberFormat="1" applyFont="1" applyFill="1" applyBorder="1" applyAlignment="1">
      <alignment horizontal="center"/>
    </xf>
    <xf numFmtId="0" fontId="8" fillId="4" borderId="1" xfId="0" applyFont="1" applyFill="1" applyBorder="1" applyAlignment="1">
      <alignment horizontal="center"/>
    </xf>
    <xf numFmtId="0" fontId="11" fillId="0" borderId="1" xfId="0" applyFont="1" applyBorder="1"/>
    <xf numFmtId="0" fontId="0" fillId="0" borderId="1" xfId="0" applyBorder="1" applyAlignment="1">
      <alignment horizontal="left"/>
    </xf>
    <xf numFmtId="0" fontId="11" fillId="2" borderId="1" xfId="0" applyFont="1" applyFill="1" applyBorder="1"/>
    <xf numFmtId="0" fontId="19" fillId="0" borderId="1" xfId="12" applyFont="1" applyBorder="1" applyAlignment="1">
      <alignment vertical="center"/>
    </xf>
    <xf numFmtId="0" fontId="19" fillId="0" borderId="1" xfId="12" applyFont="1" applyBorder="1" applyAlignment="1">
      <alignment horizontal="center" vertical="center"/>
    </xf>
    <xf numFmtId="0" fontId="8" fillId="0" borderId="0" xfId="0" applyFont="1" applyAlignment="1">
      <alignment horizontal="left"/>
    </xf>
    <xf numFmtId="0" fontId="0" fillId="0" borderId="0" xfId="0" applyFont="1"/>
    <xf numFmtId="0" fontId="3" fillId="2" borderId="1" xfId="0" applyFont="1" applyFill="1" applyBorder="1" applyAlignment="1">
      <alignment horizontal="center"/>
    </xf>
    <xf numFmtId="0" fontId="5" fillId="2" borderId="1" xfId="0" applyFont="1" applyFill="1" applyBorder="1" applyAlignment="1">
      <alignment horizontal="center" vertical="center"/>
    </xf>
    <xf numFmtId="178" fontId="19" fillId="0" borderId="4" xfId="12" applyNumberFormat="1" applyFont="1" applyBorder="1" applyAlignment="1">
      <alignment horizontal="center" vertical="center" wrapText="1"/>
    </xf>
    <xf numFmtId="17" fontId="19" fillId="0" borderId="1" xfId="12" quotePrefix="1" applyNumberFormat="1" applyFont="1" applyBorder="1" applyAlignment="1">
      <alignment horizontal="center" vertical="center"/>
    </xf>
    <xf numFmtId="49" fontId="19" fillId="0" borderId="1" xfId="12" quotePrefix="1" applyNumberFormat="1" applyFont="1" applyBorder="1" applyAlignment="1">
      <alignment horizontal="center" vertical="center"/>
    </xf>
    <xf numFmtId="0" fontId="5" fillId="2" borderId="1" xfId="0" applyFont="1" applyFill="1" applyBorder="1" applyAlignment="1">
      <alignment wrapText="1"/>
    </xf>
    <xf numFmtId="0" fontId="40" fillId="3" borderId="0" xfId="0" applyFont="1" applyFill="1"/>
    <xf numFmtId="0" fontId="30" fillId="3" borderId="0" xfId="0" applyFont="1" applyFill="1"/>
    <xf numFmtId="0" fontId="41" fillId="2" borderId="1" xfId="0" applyFont="1" applyFill="1" applyBorder="1" applyAlignment="1">
      <alignment wrapText="1"/>
    </xf>
    <xf numFmtId="0" fontId="3" fillId="0" borderId="0" xfId="0" applyFont="1" applyBorder="1" applyAlignment="1">
      <alignment horizontal="center"/>
    </xf>
    <xf numFmtId="0" fontId="0" fillId="0" borderId="0" xfId="0" applyBorder="1" applyAlignment="1">
      <alignment horizontal="center"/>
    </xf>
    <xf numFmtId="0" fontId="3" fillId="2" borderId="1" xfId="0" applyFont="1" applyFill="1" applyBorder="1" applyAlignment="1">
      <alignment wrapText="1"/>
    </xf>
    <xf numFmtId="0" fontId="0" fillId="0" borderId="0" xfId="0" applyFont="1" applyAlignment="1">
      <alignment vertical="center"/>
    </xf>
    <xf numFmtId="0" fontId="13" fillId="3" borderId="0" xfId="0" applyFont="1" applyFill="1"/>
    <xf numFmtId="0" fontId="19" fillId="0" borderId="1" xfId="12" applyFont="1" applyBorder="1" applyAlignment="1">
      <alignment vertical="center" wrapText="1"/>
    </xf>
    <xf numFmtId="177" fontId="44" fillId="0" borderId="0" xfId="89" applyFont="1" applyAlignment="1" applyProtection="1">
      <alignment horizontal="left" wrapText="1"/>
      <protection locked="0"/>
    </xf>
    <xf numFmtId="177" fontId="45" fillId="0" borderId="0" xfId="89" applyFont="1" applyAlignment="1" applyProtection="1">
      <alignment horizontal="left" wrapText="1"/>
      <protection locked="0"/>
    </xf>
    <xf numFmtId="177" fontId="46" fillId="0" borderId="0" xfId="89" applyNumberFormat="1" applyFont="1" applyAlignment="1" applyProtection="1">
      <alignment horizontal="left" wrapText="1"/>
      <protection locked="0"/>
    </xf>
    <xf numFmtId="0" fontId="47" fillId="0" borderId="0" xfId="89" applyNumberFormat="1" applyFont="1" applyAlignment="1" applyProtection="1">
      <alignment horizontal="center"/>
      <protection locked="0"/>
    </xf>
    <xf numFmtId="0" fontId="48" fillId="0" borderId="0" xfId="89" applyNumberFormat="1" applyFont="1" applyAlignment="1" applyProtection="1">
      <alignment horizontal="justify" vertical="center" wrapText="1"/>
      <protection locked="0"/>
    </xf>
    <xf numFmtId="0" fontId="8" fillId="0" borderId="0" xfId="90" applyNumberFormat="1"/>
    <xf numFmtId="0" fontId="8" fillId="0" borderId="0" xfId="90" applyNumberFormat="1" applyProtection="1">
      <protection locked="0"/>
    </xf>
    <xf numFmtId="0" fontId="43" fillId="0" borderId="0" xfId="89" applyNumberFormat="1"/>
    <xf numFmtId="14" fontId="43" fillId="0" borderId="0" xfId="89" applyNumberFormat="1"/>
    <xf numFmtId="0" fontId="43" fillId="0" borderId="0" xfId="89" applyNumberFormat="1" applyAlignment="1"/>
    <xf numFmtId="0" fontId="8" fillId="0" borderId="0" xfId="92" applyNumberFormat="1"/>
    <xf numFmtId="0" fontId="8" fillId="0" borderId="0" xfId="90" applyNumberFormat="1" applyFont="1"/>
    <xf numFmtId="0" fontId="18" fillId="0" borderId="0" xfId="89" applyNumberFormat="1" applyFont="1" applyAlignment="1" applyProtection="1">
      <alignment horizontal="right" wrapText="1"/>
      <protection locked="0"/>
    </xf>
    <xf numFmtId="0" fontId="8" fillId="0" borderId="0" xfId="92" applyNumberFormat="1" applyAlignment="1"/>
    <xf numFmtId="0" fontId="43" fillId="0" borderId="0" xfId="89" applyNumberFormat="1" applyFont="1" applyAlignment="1">
      <alignment wrapText="1"/>
    </xf>
    <xf numFmtId="0" fontId="8" fillId="0" borderId="0" xfId="90" applyNumberFormat="1" applyFill="1"/>
    <xf numFmtId="0" fontId="48" fillId="0" borderId="0" xfId="89" applyNumberFormat="1" applyFont="1" applyAlignment="1" applyProtection="1">
      <alignment horizontal="center" vertical="center" wrapText="1"/>
      <protection locked="0"/>
    </xf>
    <xf numFmtId="0" fontId="48" fillId="0" borderId="0" xfId="89" applyNumberFormat="1" applyFont="1" applyAlignment="1" applyProtection="1">
      <alignment horizontal="justify" vertical="center"/>
      <protection locked="0"/>
    </xf>
    <xf numFmtId="0" fontId="21" fillId="0" borderId="0" xfId="0" applyFont="1"/>
    <xf numFmtId="0" fontId="50" fillId="0" borderId="0" xfId="0" applyFont="1"/>
    <xf numFmtId="49" fontId="52" fillId="0" borderId="0" xfId="0" applyNumberFormat="1" applyFont="1" applyAlignment="1">
      <alignment vertical="center"/>
    </xf>
    <xf numFmtId="0" fontId="50" fillId="0" borderId="0" xfId="0" applyFont="1" applyAlignment="1">
      <alignment vertical="center"/>
    </xf>
    <xf numFmtId="0" fontId="52" fillId="0" borderId="0" xfId="0" applyFont="1"/>
    <xf numFmtId="0" fontId="52" fillId="0" borderId="0" xfId="0" applyNumberFormat="1" applyFont="1" applyAlignment="1">
      <alignment horizontal="left" vertical="center"/>
    </xf>
    <xf numFmtId="0" fontId="51" fillId="0" borderId="0" xfId="0" applyFont="1" applyAlignment="1">
      <alignment vertical="center"/>
    </xf>
    <xf numFmtId="0" fontId="50" fillId="0" borderId="0" xfId="0" applyFont="1" applyAlignment="1">
      <alignment horizontal="left"/>
    </xf>
    <xf numFmtId="0" fontId="52" fillId="0" borderId="0" xfId="0" applyFont="1" applyAlignment="1">
      <alignment horizontal="left"/>
    </xf>
    <xf numFmtId="0" fontId="22" fillId="0" borderId="0" xfId="12" applyFont="1" applyAlignment="1">
      <alignment vertical="center"/>
    </xf>
    <xf numFmtId="0" fontId="3" fillId="2" borderId="1" xfId="0" applyFont="1" applyFill="1" applyBorder="1" applyAlignment="1">
      <alignment horizontal="center"/>
    </xf>
    <xf numFmtId="0" fontId="48" fillId="0" borderId="0" xfId="90" applyNumberFormat="1" applyFont="1" applyAlignment="1" applyProtection="1">
      <alignment horizontal="center" vertical="center"/>
      <protection locked="0"/>
    </xf>
    <xf numFmtId="0" fontId="8" fillId="0" borderId="0" xfId="90" applyNumberFormat="1" applyAlignment="1">
      <alignment vertical="center"/>
    </xf>
    <xf numFmtId="177" fontId="42" fillId="0" borderId="0" xfId="93" applyFont="1"/>
    <xf numFmtId="0" fontId="3" fillId="2" borderId="1" xfId="0" applyFont="1" applyFill="1" applyBorder="1" applyAlignment="1">
      <alignment horizontal="center"/>
    </xf>
    <xf numFmtId="0" fontId="3" fillId="2" borderId="1" xfId="0" applyFont="1" applyFill="1" applyBorder="1" applyAlignment="1">
      <alignment horizontal="center"/>
    </xf>
    <xf numFmtId="0" fontId="11" fillId="0" borderId="8" xfId="0" applyFont="1" applyBorder="1"/>
    <xf numFmtId="0" fontId="0" fillId="0" borderId="0" xfId="0" applyBorder="1"/>
    <xf numFmtId="0" fontId="5" fillId="0" borderId="0" xfId="0" applyFont="1" applyFill="1" applyBorder="1"/>
    <xf numFmtId="0" fontId="5" fillId="0" borderId="1" xfId="0" applyFont="1" applyBorder="1" applyAlignment="1">
      <alignment horizontal="center"/>
    </xf>
    <xf numFmtId="0" fontId="5" fillId="0" borderId="1" xfId="0" applyFont="1" applyFill="1" applyBorder="1"/>
    <xf numFmtId="0" fontId="54" fillId="2" borderId="1" xfId="0" applyFont="1" applyFill="1" applyBorder="1"/>
    <xf numFmtId="0" fontId="42" fillId="0" borderId="0" xfId="0" applyFont="1" applyAlignment="1">
      <alignment vertical="center" wrapText="1"/>
    </xf>
    <xf numFmtId="177" fontId="46" fillId="0" borderId="0" xfId="89" quotePrefix="1" applyFont="1" applyBorder="1" applyAlignment="1" applyProtection="1">
      <alignment horizontal="left" vertical="center"/>
      <protection locked="0"/>
    </xf>
    <xf numFmtId="0" fontId="55" fillId="0" borderId="0" xfId="89" applyNumberFormat="1" applyFont="1" applyAlignment="1" applyProtection="1">
      <alignment horizontal="justify" vertical="center" wrapText="1"/>
      <protection locked="0"/>
    </xf>
    <xf numFmtId="49" fontId="19" fillId="0" borderId="1" xfId="12" applyNumberFormat="1" applyFont="1" applyBorder="1" applyAlignment="1">
      <alignment horizontal="center" vertical="center"/>
    </xf>
    <xf numFmtId="0" fontId="3" fillId="0" borderId="0" xfId="0" applyFont="1" applyAlignment="1">
      <alignment wrapText="1"/>
    </xf>
    <xf numFmtId="0" fontId="3" fillId="2" borderId="1" xfId="0" applyFont="1" applyFill="1" applyBorder="1" applyAlignment="1">
      <alignment horizontal="center"/>
    </xf>
    <xf numFmtId="0" fontId="3" fillId="2" borderId="1" xfId="0" applyFont="1" applyFill="1" applyBorder="1" applyAlignment="1">
      <alignment horizontal="center" vertical="center"/>
    </xf>
    <xf numFmtId="2" fontId="8" fillId="6" borderId="1" xfId="0" applyNumberFormat="1" applyFont="1" applyFill="1" applyBorder="1" applyAlignment="1">
      <alignment horizontal="center"/>
    </xf>
    <xf numFmtId="0" fontId="1" fillId="3" borderId="0" xfId="0" applyFont="1" applyFill="1"/>
    <xf numFmtId="0" fontId="8" fillId="6" borderId="1" xfId="0" applyFont="1" applyFill="1" applyBorder="1" applyAlignment="1">
      <alignment horizontal="center"/>
    </xf>
    <xf numFmtId="0" fontId="1" fillId="0" borderId="1" xfId="0" applyNumberFormat="1" applyFont="1" applyBorder="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xf numFmtId="0" fontId="3" fillId="0" borderId="3" xfId="0" applyFont="1" applyFill="1" applyBorder="1" applyAlignment="1">
      <alignment horizontal="center"/>
    </xf>
    <xf numFmtId="0" fontId="3" fillId="0" borderId="1" xfId="0" applyFont="1" applyFill="1" applyBorder="1" applyAlignment="1">
      <alignment horizontal="center"/>
    </xf>
    <xf numFmtId="0" fontId="1" fillId="0" borderId="1" xfId="0" applyFont="1" applyFill="1" applyBorder="1" applyAlignment="1">
      <alignment horizontal="center"/>
    </xf>
    <xf numFmtId="0" fontId="1" fillId="0" borderId="1" xfId="0" applyFont="1" applyFill="1" applyBorder="1"/>
    <xf numFmtId="0" fontId="10" fillId="0" borderId="1" xfId="0" applyFont="1" applyFill="1" applyBorder="1" applyAlignment="1">
      <alignment horizontal="center"/>
    </xf>
    <xf numFmtId="0" fontId="1" fillId="0" borderId="0" xfId="0" applyFont="1" applyFill="1" applyAlignment="1">
      <alignment horizontal="center"/>
    </xf>
    <xf numFmtId="0" fontId="5" fillId="7" borderId="1" xfId="0" applyFont="1" applyFill="1" applyBorder="1"/>
    <xf numFmtId="0" fontId="1" fillId="0" borderId="0" xfId="0" applyFont="1" applyFill="1"/>
    <xf numFmtId="0" fontId="1" fillId="0" borderId="1" xfId="0" applyFont="1" applyBorder="1" applyAlignment="1">
      <alignment horizontal="center" vertical="center"/>
    </xf>
    <xf numFmtId="0" fontId="1" fillId="0" borderId="0" xfId="0" applyFont="1" applyAlignment="1">
      <alignment horizontal="right"/>
    </xf>
    <xf numFmtId="0" fontId="1" fillId="0" borderId="0" xfId="0" applyFont="1" applyAlignment="1">
      <alignment wrapText="1"/>
    </xf>
    <xf numFmtId="2" fontId="1" fillId="0" borderId="0" xfId="0" applyNumberFormat="1" applyFont="1"/>
    <xf numFmtId="0" fontId="1" fillId="0" borderId="0" xfId="0" applyFont="1" applyAlignment="1">
      <alignment horizontal="center"/>
    </xf>
    <xf numFmtId="0" fontId="59" fillId="0" borderId="0" xfId="0" applyFont="1"/>
    <xf numFmtId="0" fontId="57" fillId="0" borderId="0" xfId="0" applyFont="1" applyAlignment="1">
      <alignment horizontal="center"/>
    </xf>
    <xf numFmtId="0" fontId="1" fillId="0" borderId="0" xfId="0" applyFont="1" applyAlignment="1">
      <alignment horizontal="left"/>
    </xf>
    <xf numFmtId="2" fontId="0" fillId="0" borderId="0" xfId="0" applyNumberFormat="1" applyAlignment="1">
      <alignment horizontal="center"/>
    </xf>
    <xf numFmtId="0" fontId="10" fillId="8" borderId="1" xfId="0" applyFont="1" applyFill="1" applyBorder="1" applyAlignment="1">
      <alignment horizontal="center"/>
    </xf>
    <xf numFmtId="0" fontId="0" fillId="9" borderId="0" xfId="0" applyFont="1" applyFill="1" applyAlignment="1">
      <alignment horizontal="center"/>
    </xf>
    <xf numFmtId="0" fontId="60" fillId="0" borderId="0" xfId="0" applyFont="1" applyAlignment="1">
      <alignment horizontal="center"/>
    </xf>
    <xf numFmtId="0" fontId="61" fillId="0" borderId="0" xfId="0" applyFont="1"/>
    <xf numFmtId="0" fontId="0" fillId="0" borderId="0" xfId="0" applyAlignment="1">
      <alignment horizontal="left" wrapText="1"/>
    </xf>
    <xf numFmtId="0" fontId="50" fillId="0" borderId="0" xfId="0" applyFont="1" applyAlignment="1">
      <alignment horizontal="left" wrapText="1"/>
    </xf>
    <xf numFmtId="0" fontId="8" fillId="0" borderId="0" xfId="0" applyFont="1" applyAlignment="1">
      <alignment horizontal="left" wrapText="1"/>
    </xf>
    <xf numFmtId="0" fontId="0" fillId="0" borderId="0" xfId="0" applyAlignment="1">
      <alignment horizontal="left" wrapText="1"/>
    </xf>
    <xf numFmtId="0" fontId="8" fillId="0" borderId="0" xfId="0" applyFont="1" applyAlignment="1">
      <alignment wrapText="1"/>
    </xf>
    <xf numFmtId="0" fontId="3" fillId="2" borderId="2" xfId="0" applyFont="1" applyFill="1"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horizontal="center"/>
    </xf>
    <xf numFmtId="0" fontId="5" fillId="2" borderId="1" xfId="0" applyFont="1" applyFill="1" applyBorder="1" applyAlignment="1">
      <alignment horizontal="center" vertical="center" wrapText="1"/>
    </xf>
    <xf numFmtId="0" fontId="0" fillId="0" borderId="1" xfId="0" applyBorder="1" applyAlignment="1">
      <alignment horizontal="center" vertical="center" wrapText="1"/>
    </xf>
    <xf numFmtId="0" fontId="3" fillId="2" borderId="1" xfId="0" applyFont="1" applyFill="1" applyBorder="1" applyAlignment="1">
      <alignment horizontal="center" vertical="center"/>
    </xf>
    <xf numFmtId="0" fontId="5" fillId="2" borderId="9" xfId="0" applyFont="1" applyFill="1" applyBorder="1" applyAlignment="1">
      <alignment horizontal="center" vertical="center" wrapText="1"/>
    </xf>
    <xf numFmtId="0" fontId="0" fillId="0" borderId="8" xfId="0" applyBorder="1" applyAlignment="1">
      <alignment horizontal="center" vertical="center" wrapText="1"/>
    </xf>
    <xf numFmtId="0" fontId="57" fillId="0" borderId="10" xfId="0" applyFont="1" applyBorder="1" applyAlignment="1">
      <alignment horizontal="center" vertical="center"/>
    </xf>
    <xf numFmtId="0" fontId="5" fillId="0" borderId="10" xfId="0" applyFont="1" applyFill="1" applyBorder="1" applyAlignment="1">
      <alignment horizontal="left"/>
    </xf>
    <xf numFmtId="0" fontId="5" fillId="0" borderId="0" xfId="0" applyFont="1" applyFill="1" applyBorder="1" applyAlignment="1">
      <alignment horizontal="left"/>
    </xf>
    <xf numFmtId="0" fontId="5" fillId="0" borderId="11" xfId="0" applyFont="1" applyFill="1" applyBorder="1" applyAlignment="1">
      <alignment horizontal="left"/>
    </xf>
    <xf numFmtId="0" fontId="5" fillId="0" borderId="12" xfId="0" applyFont="1" applyFill="1" applyBorder="1" applyAlignment="1">
      <alignment horizontal="left"/>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2"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1" fillId="8" borderId="1" xfId="0" applyFont="1" applyFill="1" applyBorder="1" applyAlignment="1">
      <alignment horizontal="center" vertical="center" wrapText="1"/>
    </xf>
  </cellXfs>
  <cellStyles count="95">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91"/>
    <cellStyle name="Normal 15 2" xfId="94"/>
    <cellStyle name="Normal 150" xfId="21"/>
    <cellStyle name="Normal 153" xfId="22"/>
    <cellStyle name="Normal 158" xfId="23"/>
    <cellStyle name="Normal 159" xfId="24"/>
    <cellStyle name="Normal 16" xfId="93"/>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2"/>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Normal_80-V0289-1_B" xfId="89"/>
    <cellStyle name="Normal_80-VD450-1_A" xfId="90"/>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0</xdr:col>
      <xdr:colOff>3499486</xdr:colOff>
      <xdr:row>0</xdr:row>
      <xdr:rowOff>430530</xdr:rowOff>
    </xdr:to>
    <xdr:pic>
      <xdr:nvPicPr>
        <xdr:cNvPr id="39" name="Picture 38">
          <a:extLst>
            <a:ext uri="{FF2B5EF4-FFF2-40B4-BE49-F238E27FC236}">
              <a16:creationId xmlns:a16="http://schemas.microsoft.com/office/drawing/2014/main" xmlns="" id="{A8639EF5-C03B-4D2B-AD67-B2842BBB86A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008" t="28913" r="6723" b="25832"/>
        <a:stretch/>
      </xdr:blipFill>
      <xdr:spPr>
        <a:xfrm>
          <a:off x="28575" y="19050"/>
          <a:ext cx="3470911" cy="411480"/>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25"/>
  <sheetViews>
    <sheetView zoomScaleNormal="100" zoomScaleSheetLayoutView="100" workbookViewId="0">
      <selection activeCell="E13" sqref="E13"/>
    </sheetView>
  </sheetViews>
  <sheetFormatPr defaultColWidth="9.140625" defaultRowHeight="12.75" x14ac:dyDescent="0.2"/>
  <cols>
    <col min="1" max="1" width="97.140625" style="97" customWidth="1"/>
    <col min="2" max="2" width="10" style="96" customWidth="1"/>
    <col min="3" max="7" width="9.140625" style="96" customWidth="1"/>
    <col min="8" max="16384" width="9.140625" style="96"/>
  </cols>
  <sheetData>
    <row r="1" spans="1:26" ht="143.25" customHeight="1" x14ac:dyDescent="0.25">
      <c r="A1" s="131"/>
      <c r="B1" s="106"/>
      <c r="C1" s="105"/>
      <c r="D1" s="104"/>
      <c r="E1" s="104"/>
      <c r="F1" s="104"/>
      <c r="G1" s="104"/>
    </row>
    <row r="2" spans="1:26" ht="114.75" customHeight="1" x14ac:dyDescent="0.4">
      <c r="A2" s="91" t="s">
        <v>110</v>
      </c>
      <c r="B2" s="103"/>
      <c r="C2" s="102"/>
      <c r="Z2" s="101"/>
    </row>
    <row r="3" spans="1:26" s="98" customFormat="1" ht="29.25" customHeight="1" x14ac:dyDescent="0.35">
      <c r="A3" s="92" t="s">
        <v>111</v>
      </c>
      <c r="G3" s="100"/>
    </row>
    <row r="4" spans="1:26" s="98" customFormat="1" ht="27" customHeight="1" x14ac:dyDescent="0.25">
      <c r="A4" s="93" t="s">
        <v>580</v>
      </c>
      <c r="B4" s="99"/>
    </row>
    <row r="5" spans="1:26" s="98" customFormat="1" ht="27" customHeight="1" x14ac:dyDescent="0.25">
      <c r="A5" s="132" t="s">
        <v>597</v>
      </c>
      <c r="B5" s="122"/>
    </row>
    <row r="6" spans="1:26" s="98" customFormat="1" ht="148.5" customHeight="1" x14ac:dyDescent="0.25">
      <c r="A6" s="94" t="s">
        <v>112</v>
      </c>
    </row>
    <row r="7" spans="1:26" s="98" customFormat="1" ht="30" customHeight="1" x14ac:dyDescent="0.25">
      <c r="A7" s="108" t="s">
        <v>275</v>
      </c>
    </row>
    <row r="8" spans="1:26" s="98" customFormat="1" ht="30" customHeight="1" x14ac:dyDescent="0.25">
      <c r="A8" s="133" t="s">
        <v>276</v>
      </c>
    </row>
    <row r="9" spans="1:26" s="98" customFormat="1" ht="30" customHeight="1" x14ac:dyDescent="0.25">
      <c r="A9" s="95" t="s">
        <v>154</v>
      </c>
    </row>
    <row r="10" spans="1:26" s="98" customFormat="1" ht="30" customHeight="1" x14ac:dyDescent="0.25">
      <c r="A10" s="95" t="s">
        <v>287</v>
      </c>
    </row>
    <row r="11" spans="1:26" s="121" customFormat="1" ht="40.5" customHeight="1" x14ac:dyDescent="0.2">
      <c r="A11" s="95" t="s">
        <v>216</v>
      </c>
    </row>
    <row r="12" spans="1:26" s="121" customFormat="1" ht="30" customHeight="1" x14ac:dyDescent="0.2">
      <c r="A12" s="108" t="s">
        <v>155</v>
      </c>
    </row>
    <row r="13" spans="1:26" ht="45" x14ac:dyDescent="0.2">
      <c r="A13" s="107" t="s">
        <v>101</v>
      </c>
    </row>
    <row r="14" spans="1:26" x14ac:dyDescent="0.2">
      <c r="A14" s="120" t="s">
        <v>288</v>
      </c>
    </row>
    <row r="15" spans="1:26" ht="13.5" customHeight="1" x14ac:dyDescent="0.2"/>
    <row r="21" ht="12.75" customHeight="1" x14ac:dyDescent="0.2"/>
    <row r="22" ht="12.75" customHeight="1" x14ac:dyDescent="0.2"/>
    <row r="25" ht="12.75" customHeight="1" x14ac:dyDescent="0.2"/>
  </sheetData>
  <phoneticPr fontId="62" type="noConversion"/>
  <pageMargins left="0.75" right="0.75" top="0.5" bottom="0.5" header="0.5" footer="0.5"/>
  <pageSetup fitToHeight="0" orientation="portrait" r:id="rId1"/>
  <headerFooter scaleWithDoc="0" alignWithMargins="0">
    <oddHeader>&amp;R&amp;8</oddHeader>
    <oddFooter>&amp;L&amp;8&amp;C&amp;8&amp;R&amp;8</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23"/>
  <sheetViews>
    <sheetView showGridLines="0" topLeftCell="A33" zoomScaleNormal="100" zoomScaleSheetLayoutView="85" zoomScalePageLayoutView="70" workbookViewId="0">
      <selection activeCell="P62" sqref="P62"/>
    </sheetView>
  </sheetViews>
  <sheetFormatPr defaultColWidth="9.140625" defaultRowHeight="15.95" customHeight="1" x14ac:dyDescent="0.2"/>
  <cols>
    <col min="1" max="2" width="3.28515625" style="32" customWidth="1"/>
    <col min="3" max="3" width="9.140625" style="32"/>
    <col min="4" max="4" width="16" style="32" customWidth="1"/>
    <col min="5" max="5" width="84" style="32" customWidth="1"/>
    <col min="6" max="16384" width="9.140625" style="32"/>
  </cols>
  <sheetData>
    <row r="1" spans="1:5" ht="24.75" customHeight="1" x14ac:dyDescent="0.2">
      <c r="A1" s="118" t="s">
        <v>107</v>
      </c>
      <c r="B1" s="118"/>
    </row>
    <row r="2" spans="1:5" ht="15.95" customHeight="1" x14ac:dyDescent="0.2">
      <c r="A2" s="38"/>
      <c r="B2" s="38"/>
      <c r="C2" s="38"/>
      <c r="D2" s="38"/>
    </row>
    <row r="3" spans="1:5" ht="20.100000000000001" customHeight="1" thickBot="1" x14ac:dyDescent="0.25">
      <c r="A3" s="37"/>
      <c r="B3" s="37"/>
      <c r="C3" s="36" t="s">
        <v>106</v>
      </c>
      <c r="D3" s="35" t="s">
        <v>105</v>
      </c>
      <c r="E3" s="35" t="s">
        <v>104</v>
      </c>
    </row>
    <row r="4" spans="1:5" ht="15.95" customHeight="1" x14ac:dyDescent="0.2">
      <c r="C4" s="34" t="s">
        <v>103</v>
      </c>
      <c r="D4" s="78">
        <v>41456</v>
      </c>
      <c r="E4" s="33" t="s">
        <v>102</v>
      </c>
    </row>
    <row r="5" spans="1:5" ht="15.95" customHeight="1" x14ac:dyDescent="0.2">
      <c r="C5" s="73" t="s">
        <v>137</v>
      </c>
      <c r="D5" s="79" t="s">
        <v>298</v>
      </c>
      <c r="E5" s="72" t="s">
        <v>138</v>
      </c>
    </row>
    <row r="6" spans="1:5" ht="15.95" customHeight="1" x14ac:dyDescent="0.2">
      <c r="C6" s="73" t="s">
        <v>139</v>
      </c>
      <c r="D6" s="80" t="s">
        <v>299</v>
      </c>
      <c r="E6" s="72" t="s">
        <v>289</v>
      </c>
    </row>
    <row r="7" spans="1:5" ht="15.95" customHeight="1" x14ac:dyDescent="0.2">
      <c r="C7" s="73" t="s">
        <v>192</v>
      </c>
      <c r="D7" s="80" t="s">
        <v>193</v>
      </c>
      <c r="E7" s="72" t="s">
        <v>290</v>
      </c>
    </row>
    <row r="8" spans="1:5" ht="15.95" customHeight="1" x14ac:dyDescent="0.2">
      <c r="C8" s="73" t="s">
        <v>194</v>
      </c>
      <c r="D8" s="80" t="s">
        <v>300</v>
      </c>
      <c r="E8" s="72" t="s">
        <v>291</v>
      </c>
    </row>
    <row r="9" spans="1:5" ht="27.75" customHeight="1" x14ac:dyDescent="0.2">
      <c r="C9" s="73" t="s">
        <v>195</v>
      </c>
      <c r="D9" s="80" t="s">
        <v>196</v>
      </c>
      <c r="E9" s="90" t="s">
        <v>292</v>
      </c>
    </row>
    <row r="10" spans="1:5" ht="15.95" customHeight="1" x14ac:dyDescent="0.2">
      <c r="C10" s="73" t="s">
        <v>211</v>
      </c>
      <c r="D10" s="80" t="s">
        <v>301</v>
      </c>
      <c r="E10" s="90" t="s">
        <v>212</v>
      </c>
    </row>
    <row r="11" spans="1:5" ht="15.95" customHeight="1" x14ac:dyDescent="0.2">
      <c r="C11" s="73" t="s">
        <v>237</v>
      </c>
      <c r="D11" s="80" t="s">
        <v>302</v>
      </c>
      <c r="E11" s="90" t="s">
        <v>293</v>
      </c>
    </row>
    <row r="12" spans="1:5" ht="15.95" customHeight="1" x14ac:dyDescent="0.2">
      <c r="C12" s="73" t="s">
        <v>242</v>
      </c>
      <c r="D12" s="80" t="s">
        <v>303</v>
      </c>
      <c r="E12" s="90" t="s">
        <v>294</v>
      </c>
    </row>
    <row r="13" spans="1:5" ht="15.95" customHeight="1" x14ac:dyDescent="0.2">
      <c r="C13" s="73" t="s">
        <v>244</v>
      </c>
      <c r="D13" s="80" t="s">
        <v>304</v>
      </c>
      <c r="E13" s="90" t="s">
        <v>295</v>
      </c>
    </row>
    <row r="14" spans="1:5" ht="15.95" customHeight="1" x14ac:dyDescent="0.2">
      <c r="C14" s="73" t="s">
        <v>245</v>
      </c>
      <c r="D14" s="80" t="s">
        <v>246</v>
      </c>
      <c r="E14" s="90" t="s">
        <v>247</v>
      </c>
    </row>
    <row r="15" spans="1:5" ht="15.95" customHeight="1" x14ac:dyDescent="0.2">
      <c r="C15" s="73" t="s">
        <v>248</v>
      </c>
      <c r="D15" s="80" t="s">
        <v>249</v>
      </c>
      <c r="E15" s="90" t="s">
        <v>250</v>
      </c>
    </row>
    <row r="16" spans="1:5" ht="23.25" customHeight="1" x14ac:dyDescent="0.2">
      <c r="C16" s="73" t="s">
        <v>252</v>
      </c>
      <c r="D16" s="80" t="s">
        <v>277</v>
      </c>
      <c r="E16" s="72" t="s">
        <v>278</v>
      </c>
    </row>
    <row r="17" spans="3:5" ht="15.95" customHeight="1" x14ac:dyDescent="0.2">
      <c r="C17" s="73" t="s">
        <v>274</v>
      </c>
      <c r="D17" s="134" t="s">
        <v>279</v>
      </c>
      <c r="E17" s="72" t="s">
        <v>296</v>
      </c>
    </row>
    <row r="18" spans="3:5" ht="33.75" customHeight="1" x14ac:dyDescent="0.2">
      <c r="C18" s="73" t="s">
        <v>282</v>
      </c>
      <c r="D18" s="134" t="s">
        <v>280</v>
      </c>
      <c r="E18" s="90" t="s">
        <v>297</v>
      </c>
    </row>
    <row r="19" spans="3:5" ht="67.5" customHeight="1" x14ac:dyDescent="0.2">
      <c r="C19" s="73" t="s">
        <v>307</v>
      </c>
      <c r="D19" s="80" t="s">
        <v>551</v>
      </c>
      <c r="E19" s="90" t="s">
        <v>552</v>
      </c>
    </row>
    <row r="20" spans="3:5" ht="67.5" customHeight="1" x14ac:dyDescent="0.2">
      <c r="C20" s="73" t="s">
        <v>553</v>
      </c>
      <c r="D20" s="80" t="s">
        <v>554</v>
      </c>
      <c r="E20" s="90" t="s">
        <v>555</v>
      </c>
    </row>
    <row r="21" spans="3:5" ht="108.75" customHeight="1" x14ac:dyDescent="0.2">
      <c r="C21" s="73" t="s">
        <v>561</v>
      </c>
      <c r="D21" s="80" t="s">
        <v>598</v>
      </c>
      <c r="E21" s="90" t="s">
        <v>591</v>
      </c>
    </row>
    <row r="23" spans="3:5" ht="15.95" customHeight="1" x14ac:dyDescent="0.2">
      <c r="C23" s="32" t="s">
        <v>281</v>
      </c>
    </row>
  </sheetData>
  <phoneticPr fontId="62" type="noConversion"/>
  <pageMargins left="0.75" right="0.75" top="0.5" bottom="0.5" header="0.3" footer="0.3"/>
  <pageSetup scale="77" firstPageNumber="2" fitToHeight="0" orientation="portrait" r:id="rId1"/>
  <headerFooter scaleWithDoc="0">
    <oddFooter xml:space="preserve">&amp;L&amp;8      80-NH713-1 V
&amp;C&amp;8&amp;P 
&amp;"Arial,Bold" MAY CONTAIN U.S. AND INTERNATIONAL EXPORT CONTROLLED INFORMATION&amp;R&amp;8 Confidential and Proprietary - Qualcomm Technologies, Inc.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60"/>
  <sheetViews>
    <sheetView topLeftCell="A22" zoomScale="85" zoomScaleNormal="85" zoomScaleSheetLayoutView="85" zoomScalePageLayoutView="80" workbookViewId="0">
      <selection activeCell="A48" sqref="A48"/>
    </sheetView>
  </sheetViews>
  <sheetFormatPr defaultRowHeight="12.75" x14ac:dyDescent="0.2"/>
  <cols>
    <col min="1" max="1" width="4.140625" customWidth="1"/>
  </cols>
  <sheetData>
    <row r="1" spans="1:11" ht="45" customHeight="1" x14ac:dyDescent="0.2">
      <c r="A1" s="41" t="s">
        <v>108</v>
      </c>
      <c r="B1" s="40"/>
      <c r="C1" s="39"/>
      <c r="D1" s="39"/>
      <c r="E1" s="39"/>
      <c r="F1" s="39"/>
      <c r="G1" s="39"/>
      <c r="H1" s="39"/>
      <c r="I1" s="39"/>
      <c r="J1" s="39"/>
      <c r="K1" s="39"/>
    </row>
    <row r="2" spans="1:11" s="14" customFormat="1" ht="15" customHeight="1" x14ac:dyDescent="0.2">
      <c r="A2" s="111" t="s">
        <v>133</v>
      </c>
      <c r="B2" s="112"/>
      <c r="C2" s="39"/>
      <c r="D2" s="39"/>
      <c r="E2" s="39"/>
      <c r="F2" s="39"/>
      <c r="G2" s="39"/>
      <c r="H2" s="39"/>
      <c r="I2" s="39"/>
      <c r="J2" s="39"/>
      <c r="K2" s="39"/>
    </row>
    <row r="3" spans="1:11" ht="18.75" customHeight="1" x14ac:dyDescent="0.25">
      <c r="A3" s="113"/>
      <c r="B3" s="111" t="s">
        <v>197</v>
      </c>
      <c r="C3" s="39"/>
      <c r="D3" s="39"/>
      <c r="E3" s="39"/>
      <c r="F3" s="39"/>
      <c r="G3" s="39"/>
      <c r="H3" s="39"/>
      <c r="I3" s="39"/>
      <c r="J3" s="39"/>
      <c r="K3" s="39"/>
    </row>
    <row r="4" spans="1:11" ht="18.75" customHeight="1" x14ac:dyDescent="0.25">
      <c r="A4" s="113"/>
      <c r="B4" s="111" t="s">
        <v>198</v>
      </c>
      <c r="C4" s="39"/>
      <c r="D4" s="39"/>
      <c r="E4" s="39"/>
      <c r="F4" s="39"/>
      <c r="G4" s="39"/>
      <c r="H4" s="39"/>
      <c r="I4" s="39"/>
      <c r="J4" s="39"/>
      <c r="K4" s="39"/>
    </row>
    <row r="5" spans="1:11" ht="18.75" customHeight="1" x14ac:dyDescent="0.25">
      <c r="A5" s="113"/>
      <c r="B5" s="111" t="s">
        <v>134</v>
      </c>
      <c r="C5" s="39"/>
      <c r="D5" s="39"/>
      <c r="E5" s="39"/>
      <c r="F5" s="39"/>
      <c r="G5" s="39"/>
      <c r="H5" s="39"/>
      <c r="I5" s="39"/>
      <c r="J5" s="39"/>
      <c r="K5" s="39"/>
    </row>
    <row r="6" spans="1:11" ht="18.75" customHeight="1" x14ac:dyDescent="0.25">
      <c r="A6" s="113"/>
      <c r="B6" s="111" t="s">
        <v>135</v>
      </c>
      <c r="C6" s="39"/>
      <c r="D6" s="39"/>
      <c r="E6" s="39"/>
      <c r="F6" s="39"/>
      <c r="G6" s="39"/>
      <c r="H6" s="39"/>
      <c r="I6" s="39"/>
      <c r="J6" s="39"/>
      <c r="K6" s="39"/>
    </row>
    <row r="7" spans="1:11" ht="18.75" customHeight="1" x14ac:dyDescent="0.25">
      <c r="A7" s="113"/>
      <c r="B7" s="111" t="s">
        <v>136</v>
      </c>
      <c r="C7" s="39"/>
      <c r="D7" s="39"/>
      <c r="E7" s="39"/>
      <c r="F7" s="39"/>
      <c r="G7" s="39"/>
      <c r="H7" s="39"/>
      <c r="I7" s="39"/>
      <c r="J7" s="39"/>
      <c r="K7" s="39"/>
    </row>
    <row r="8" spans="1:11" s="14" customFormat="1" ht="18.75" customHeight="1" x14ac:dyDescent="0.25">
      <c r="A8" s="113"/>
      <c r="B8" s="114" t="s">
        <v>199</v>
      </c>
      <c r="D8" s="39"/>
      <c r="E8" s="39"/>
      <c r="F8" s="39"/>
      <c r="G8" s="39"/>
      <c r="H8" s="39"/>
      <c r="I8" s="39"/>
      <c r="J8" s="39"/>
      <c r="K8" s="39"/>
    </row>
    <row r="9" spans="1:11" s="14" customFormat="1" ht="18.75" customHeight="1" x14ac:dyDescent="0.25">
      <c r="A9" s="113"/>
      <c r="B9" s="114" t="s">
        <v>200</v>
      </c>
      <c r="D9" s="39"/>
      <c r="E9" s="39"/>
      <c r="F9" s="39"/>
      <c r="G9" s="39"/>
      <c r="H9" s="39"/>
      <c r="I9" s="39"/>
      <c r="J9" s="39"/>
      <c r="K9" s="39"/>
    </row>
    <row r="10" spans="1:11" s="14" customFormat="1" ht="18.75" customHeight="1" x14ac:dyDescent="0.25">
      <c r="A10" s="113"/>
      <c r="B10" s="114" t="s">
        <v>201</v>
      </c>
      <c r="D10" s="39"/>
      <c r="E10" s="39"/>
      <c r="F10" s="39"/>
      <c r="G10" s="39"/>
      <c r="H10" s="39"/>
      <c r="I10" s="39"/>
      <c r="J10" s="39"/>
      <c r="K10" s="39"/>
    </row>
    <row r="11" spans="1:11" s="14" customFormat="1" ht="18.75" customHeight="1" x14ac:dyDescent="0.25">
      <c r="A11" s="113"/>
      <c r="B11" s="114" t="s">
        <v>202</v>
      </c>
      <c r="D11" s="39"/>
      <c r="E11" s="39"/>
      <c r="F11" s="39"/>
      <c r="G11" s="39"/>
      <c r="H11" s="39"/>
      <c r="I11" s="39"/>
      <c r="J11" s="39"/>
      <c r="K11" s="39"/>
    </row>
    <row r="12" spans="1:11" s="14" customFormat="1" ht="18.75" customHeight="1" x14ac:dyDescent="0.25">
      <c r="A12" s="113"/>
      <c r="B12" s="114" t="s">
        <v>203</v>
      </c>
      <c r="D12" s="39"/>
      <c r="E12" s="74"/>
      <c r="F12" s="39"/>
      <c r="G12" s="39"/>
      <c r="H12" s="39"/>
      <c r="I12" s="39"/>
      <c r="J12" s="39"/>
      <c r="K12" s="39"/>
    </row>
    <row r="13" spans="1:11" s="14" customFormat="1" ht="18.75" customHeight="1" x14ac:dyDescent="0.25">
      <c r="A13" s="113"/>
      <c r="B13" s="114" t="s">
        <v>176</v>
      </c>
      <c r="D13" s="39"/>
      <c r="E13" s="74"/>
      <c r="F13" s="39"/>
      <c r="G13" s="39"/>
      <c r="H13" s="39"/>
      <c r="I13" s="39"/>
      <c r="J13" s="39"/>
      <c r="K13" s="39"/>
    </row>
    <row r="14" spans="1:11" ht="18.75" customHeight="1" x14ac:dyDescent="0.25">
      <c r="A14" s="115"/>
      <c r="B14" s="116" t="s">
        <v>175</v>
      </c>
      <c r="D14" s="39"/>
      <c r="E14" s="39"/>
      <c r="F14" s="39"/>
      <c r="G14" s="39"/>
      <c r="H14" s="39"/>
      <c r="I14" s="39"/>
      <c r="J14" s="39"/>
      <c r="K14" s="39"/>
    </row>
    <row r="15" spans="1:11" s="14" customFormat="1" ht="18.75" customHeight="1" x14ac:dyDescent="0.25">
      <c r="A15" s="115"/>
      <c r="B15" s="116" t="s">
        <v>207</v>
      </c>
      <c r="D15" s="39"/>
      <c r="E15" s="39"/>
      <c r="F15" s="39"/>
      <c r="G15" s="39"/>
      <c r="H15" s="39"/>
      <c r="I15" s="39"/>
      <c r="J15" s="39"/>
      <c r="K15" s="39"/>
    </row>
    <row r="16" spans="1:11" s="14" customFormat="1" ht="18.75" customHeight="1" x14ac:dyDescent="0.25">
      <c r="A16" s="115"/>
      <c r="B16" s="116" t="s">
        <v>208</v>
      </c>
      <c r="D16" s="39"/>
      <c r="E16" s="39"/>
      <c r="F16" s="39"/>
      <c r="G16" s="39"/>
      <c r="H16" s="39"/>
      <c r="I16" s="39"/>
      <c r="J16" s="39"/>
      <c r="K16" s="39"/>
    </row>
    <row r="17" spans="1:11" s="14" customFormat="1" ht="18.75" customHeight="1" x14ac:dyDescent="0.25">
      <c r="A17" s="115"/>
      <c r="B17" s="116" t="s">
        <v>209</v>
      </c>
      <c r="D17" s="39"/>
      <c r="E17" s="39"/>
      <c r="F17" s="39"/>
      <c r="G17" s="39"/>
      <c r="H17" s="39"/>
      <c r="I17" s="39"/>
      <c r="J17" s="39"/>
      <c r="K17" s="39"/>
    </row>
    <row r="18" spans="1:11" s="14" customFormat="1" ht="18.75" customHeight="1" x14ac:dyDescent="0.25">
      <c r="A18" s="115"/>
      <c r="B18" s="116" t="s">
        <v>213</v>
      </c>
      <c r="D18" s="39"/>
      <c r="E18" s="39"/>
      <c r="F18" s="39"/>
      <c r="G18" s="39"/>
      <c r="H18" s="39"/>
      <c r="I18" s="39"/>
      <c r="J18" s="39"/>
      <c r="K18" s="39"/>
    </row>
    <row r="19" spans="1:11" s="14" customFormat="1" ht="18.75" customHeight="1" x14ac:dyDescent="0.25">
      <c r="A19" s="115"/>
      <c r="B19" s="116" t="s">
        <v>214</v>
      </c>
      <c r="D19" s="39"/>
      <c r="E19" s="39"/>
      <c r="F19" s="39"/>
      <c r="G19" s="39"/>
      <c r="H19" s="39"/>
      <c r="I19" s="39"/>
      <c r="J19" s="39"/>
      <c r="K19" s="39"/>
    </row>
    <row r="20" spans="1:11" s="14" customFormat="1" ht="18.75" customHeight="1" x14ac:dyDescent="0.25">
      <c r="A20" s="115"/>
      <c r="B20" s="116" t="s">
        <v>204</v>
      </c>
      <c r="D20" s="39"/>
      <c r="E20" s="39"/>
      <c r="F20" s="39"/>
      <c r="G20" s="39"/>
      <c r="H20" s="39"/>
      <c r="I20" s="39"/>
      <c r="J20" s="39"/>
      <c r="K20" s="39"/>
    </row>
    <row r="21" spans="1:11" s="14" customFormat="1" ht="18.75" customHeight="1" x14ac:dyDescent="0.25">
      <c r="A21" s="115"/>
      <c r="B21" s="116" t="s">
        <v>215</v>
      </c>
      <c r="D21" s="39"/>
      <c r="E21" s="39"/>
      <c r="F21" s="39"/>
      <c r="G21" s="39"/>
      <c r="H21" s="39"/>
      <c r="I21" s="39"/>
      <c r="J21" s="39"/>
      <c r="K21" s="39"/>
    </row>
    <row r="22" spans="1:11" s="14" customFormat="1" ht="18.75" customHeight="1" x14ac:dyDescent="0.25">
      <c r="A22" s="115"/>
      <c r="B22" s="116" t="s">
        <v>240</v>
      </c>
      <c r="D22" s="39"/>
      <c r="E22" s="39"/>
      <c r="F22" s="39"/>
      <c r="G22" s="39"/>
      <c r="H22" s="39"/>
      <c r="I22" s="39"/>
      <c r="J22" s="39"/>
      <c r="K22" s="39"/>
    </row>
    <row r="23" spans="1:11" s="14" customFormat="1" ht="18.75" customHeight="1" x14ac:dyDescent="0.25">
      <c r="A23" s="115"/>
      <c r="B23" s="116" t="s">
        <v>241</v>
      </c>
      <c r="D23" s="39"/>
      <c r="E23" s="39"/>
      <c r="F23" s="39"/>
      <c r="G23" s="39"/>
      <c r="H23" s="39"/>
      <c r="I23" s="39"/>
      <c r="J23" s="39"/>
      <c r="K23" s="39"/>
    </row>
    <row r="24" spans="1:11" s="14" customFormat="1" ht="18.75" customHeight="1" x14ac:dyDescent="0.25">
      <c r="A24" s="115"/>
      <c r="B24" s="116" t="s">
        <v>283</v>
      </c>
      <c r="D24" s="39"/>
      <c r="E24" s="39"/>
      <c r="F24" s="39"/>
      <c r="G24" s="39"/>
      <c r="H24" s="39"/>
      <c r="I24" s="39"/>
      <c r="J24" s="39"/>
      <c r="K24" s="39"/>
    </row>
    <row r="25" spans="1:11" s="14" customFormat="1" ht="18.75" customHeight="1" x14ac:dyDescent="0.25">
      <c r="A25" s="41"/>
      <c r="B25" s="116" t="s">
        <v>243</v>
      </c>
      <c r="D25" s="39"/>
      <c r="E25" s="39"/>
      <c r="F25" s="39"/>
      <c r="G25" s="39"/>
      <c r="H25" s="39"/>
      <c r="I25" s="39"/>
      <c r="J25" s="39"/>
      <c r="K25" s="39"/>
    </row>
    <row r="26" spans="1:11" s="14" customFormat="1" ht="18.75" customHeight="1" x14ac:dyDescent="0.25">
      <c r="A26" s="41"/>
      <c r="B26" s="116" t="s">
        <v>286</v>
      </c>
      <c r="D26" s="39"/>
      <c r="E26" s="39"/>
      <c r="F26" s="39"/>
      <c r="G26" s="39"/>
      <c r="H26" s="39"/>
      <c r="I26" s="39"/>
      <c r="J26" s="39"/>
      <c r="K26" s="39"/>
    </row>
    <row r="27" spans="1:11" s="14" customFormat="1" ht="18.75" customHeight="1" x14ac:dyDescent="0.25">
      <c r="A27" s="41"/>
      <c r="B27" s="116" t="s">
        <v>235</v>
      </c>
      <c r="D27" s="39"/>
      <c r="E27" s="39"/>
      <c r="F27" s="39"/>
      <c r="G27" s="39"/>
      <c r="H27" s="39"/>
      <c r="I27" s="39"/>
      <c r="J27" s="39"/>
      <c r="K27" s="39"/>
    </row>
    <row r="28" spans="1:11" s="14" customFormat="1" ht="18.75" customHeight="1" x14ac:dyDescent="0.25">
      <c r="A28" s="41"/>
      <c r="B28" s="116" t="s">
        <v>251</v>
      </c>
      <c r="D28" s="39"/>
      <c r="E28" s="39"/>
      <c r="F28" s="39"/>
      <c r="G28" s="39"/>
      <c r="H28" s="39"/>
      <c r="I28" s="39"/>
      <c r="J28" s="39"/>
      <c r="K28" s="39"/>
    </row>
    <row r="29" spans="1:11" s="14" customFormat="1" ht="18.75" customHeight="1" x14ac:dyDescent="0.25">
      <c r="A29" s="41"/>
      <c r="B29" s="116" t="s">
        <v>284</v>
      </c>
      <c r="D29" s="39"/>
      <c r="E29" s="39"/>
      <c r="F29" s="39"/>
      <c r="G29" s="39"/>
      <c r="H29" s="39"/>
      <c r="I29" s="39"/>
      <c r="J29" s="39"/>
      <c r="K29" s="39"/>
    </row>
    <row r="30" spans="1:11" s="14" customFormat="1" ht="18.75" customHeight="1" x14ac:dyDescent="0.25">
      <c r="A30" s="41"/>
      <c r="B30" s="116" t="s">
        <v>285</v>
      </c>
      <c r="D30" s="39"/>
      <c r="E30" s="39"/>
      <c r="F30" s="39"/>
      <c r="G30" s="39"/>
      <c r="H30" s="39"/>
      <c r="I30" s="39"/>
      <c r="J30" s="39"/>
      <c r="K30" s="39"/>
    </row>
    <row r="31" spans="1:11" s="14" customFormat="1" ht="18.75" customHeight="1" x14ac:dyDescent="0.25">
      <c r="A31" s="41"/>
      <c r="B31" s="116" t="s">
        <v>590</v>
      </c>
      <c r="D31" s="39"/>
      <c r="E31" s="39"/>
      <c r="F31" s="39"/>
      <c r="G31" s="39"/>
      <c r="H31" s="39"/>
      <c r="I31" s="39"/>
      <c r="J31" s="39"/>
      <c r="K31" s="39"/>
    </row>
    <row r="32" spans="1:11" s="14" customFormat="1" ht="18.75" customHeight="1" x14ac:dyDescent="0.25">
      <c r="A32" s="41"/>
      <c r="B32" s="116" t="s">
        <v>592</v>
      </c>
      <c r="D32" s="39"/>
      <c r="E32" s="39"/>
      <c r="F32" s="39"/>
      <c r="G32" s="39"/>
      <c r="H32" s="39"/>
      <c r="I32" s="39"/>
      <c r="J32" s="39"/>
      <c r="K32" s="39"/>
    </row>
    <row r="33" spans="1:11" s="14" customFormat="1" ht="18.75" customHeight="1" x14ac:dyDescent="0.25">
      <c r="A33" s="41"/>
      <c r="B33" s="116" t="s">
        <v>308</v>
      </c>
      <c r="D33" s="39"/>
      <c r="E33" s="39"/>
      <c r="F33" s="39"/>
      <c r="G33" s="39"/>
      <c r="H33" s="39"/>
      <c r="I33" s="39"/>
      <c r="J33" s="39"/>
      <c r="K33" s="39"/>
    </row>
    <row r="34" spans="1:11" s="14" customFormat="1" ht="18.75" customHeight="1" x14ac:dyDescent="0.25">
      <c r="A34" s="41"/>
      <c r="B34" s="116" t="s">
        <v>550</v>
      </c>
      <c r="D34" s="39"/>
      <c r="E34" s="39"/>
      <c r="F34" s="39"/>
      <c r="G34" s="39"/>
      <c r="H34" s="39"/>
      <c r="I34" s="39"/>
      <c r="J34" s="39"/>
      <c r="K34" s="39"/>
    </row>
    <row r="35" spans="1:11" s="14" customFormat="1" ht="18.75" customHeight="1" x14ac:dyDescent="0.25">
      <c r="A35" s="41"/>
      <c r="B35" s="116" t="s">
        <v>560</v>
      </c>
      <c r="D35" s="39"/>
      <c r="E35" s="39"/>
      <c r="F35" s="39"/>
      <c r="G35" s="39"/>
      <c r="H35" s="39"/>
      <c r="I35" s="39"/>
      <c r="J35" s="39"/>
      <c r="K35" s="39"/>
    </row>
    <row r="36" spans="1:11" s="14" customFormat="1" ht="18.75" customHeight="1" x14ac:dyDescent="0.25">
      <c r="A36" s="41"/>
      <c r="B36" s="116" t="s">
        <v>581</v>
      </c>
      <c r="D36" s="39"/>
      <c r="E36" s="39"/>
      <c r="F36" s="39"/>
      <c r="G36" s="39"/>
      <c r="H36" s="39"/>
      <c r="I36" s="39"/>
      <c r="J36" s="39"/>
      <c r="K36" s="39"/>
    </row>
    <row r="37" spans="1:11" s="14" customFormat="1" ht="18.75" customHeight="1" x14ac:dyDescent="0.25">
      <c r="A37" s="41"/>
      <c r="B37" s="116" t="s">
        <v>582</v>
      </c>
      <c r="D37" s="39"/>
      <c r="E37" s="39"/>
      <c r="F37" s="39"/>
      <c r="G37" s="39"/>
      <c r="H37" s="39"/>
      <c r="I37" s="39"/>
      <c r="J37" s="39"/>
      <c r="K37" s="39"/>
    </row>
    <row r="38" spans="1:11" s="14" customFormat="1" ht="18.75" customHeight="1" x14ac:dyDescent="0.25">
      <c r="A38" s="41"/>
      <c r="B38" s="116" t="s">
        <v>583</v>
      </c>
      <c r="D38" s="39"/>
      <c r="E38" s="39"/>
      <c r="F38" s="39"/>
      <c r="G38" s="39"/>
      <c r="H38" s="39"/>
      <c r="I38" s="39"/>
      <c r="J38" s="39"/>
      <c r="K38" s="39"/>
    </row>
    <row r="39" spans="1:11" s="14" customFormat="1" ht="18.75" customHeight="1" x14ac:dyDescent="0.25">
      <c r="A39" s="41"/>
      <c r="B39" s="116" t="s">
        <v>584</v>
      </c>
      <c r="D39" s="39"/>
      <c r="E39" s="39"/>
      <c r="F39" s="39"/>
      <c r="G39" s="39"/>
      <c r="H39" s="39"/>
      <c r="I39" s="39"/>
      <c r="J39" s="39"/>
      <c r="K39" s="39"/>
    </row>
    <row r="40" spans="1:11" s="14" customFormat="1" ht="18.75" customHeight="1" x14ac:dyDescent="0.25">
      <c r="A40" s="41"/>
      <c r="B40" s="116" t="s">
        <v>585</v>
      </c>
      <c r="D40" s="39"/>
      <c r="E40" s="39"/>
      <c r="F40" s="39"/>
      <c r="G40" s="39"/>
      <c r="H40" s="39"/>
      <c r="I40" s="39"/>
      <c r="J40" s="39"/>
      <c r="K40" s="39"/>
    </row>
    <row r="41" spans="1:11" s="14" customFormat="1" ht="18.75" customHeight="1" x14ac:dyDescent="0.25">
      <c r="A41" s="41"/>
      <c r="B41" s="116" t="s">
        <v>586</v>
      </c>
      <c r="D41" s="39"/>
      <c r="E41" s="39"/>
      <c r="F41" s="39"/>
      <c r="G41" s="39"/>
      <c r="H41" s="39"/>
      <c r="I41" s="39"/>
      <c r="J41" s="39"/>
      <c r="K41" s="39"/>
    </row>
    <row r="42" spans="1:11" s="14" customFormat="1" ht="18.75" customHeight="1" x14ac:dyDescent="0.25">
      <c r="A42" s="41"/>
      <c r="B42" s="116" t="s">
        <v>587</v>
      </c>
      <c r="D42" s="39"/>
      <c r="E42" s="39"/>
      <c r="F42" s="39"/>
      <c r="G42" s="39"/>
      <c r="H42" s="39"/>
      <c r="I42" s="39"/>
      <c r="J42" s="39"/>
      <c r="K42" s="39"/>
    </row>
    <row r="43" spans="1:11" s="14" customFormat="1" ht="18.75" customHeight="1" x14ac:dyDescent="0.25">
      <c r="A43" s="41"/>
      <c r="B43" s="116" t="s">
        <v>588</v>
      </c>
      <c r="D43" s="39"/>
      <c r="E43" s="39"/>
      <c r="F43" s="39"/>
      <c r="G43" s="39"/>
      <c r="H43" s="39"/>
      <c r="I43" s="39"/>
      <c r="J43" s="39"/>
      <c r="K43" s="39"/>
    </row>
    <row r="44" spans="1:11" s="14" customFormat="1" ht="18.75" customHeight="1" x14ac:dyDescent="0.25">
      <c r="A44" s="41"/>
      <c r="B44" s="116" t="s">
        <v>589</v>
      </c>
      <c r="D44" s="39"/>
      <c r="E44" s="39"/>
      <c r="F44" s="39"/>
      <c r="G44" s="39"/>
      <c r="H44" s="39"/>
      <c r="I44" s="39"/>
      <c r="J44" s="39"/>
      <c r="K44" s="39"/>
    </row>
    <row r="45" spans="1:11" s="14" customFormat="1" ht="18.75" customHeight="1" x14ac:dyDescent="0.25">
      <c r="A45" s="41"/>
      <c r="B45" s="116"/>
      <c r="D45" s="39"/>
      <c r="E45" s="39"/>
      <c r="F45" s="39"/>
      <c r="G45" s="39"/>
      <c r="H45" s="39"/>
      <c r="I45" s="39"/>
      <c r="J45" s="39"/>
      <c r="K45" s="39"/>
    </row>
    <row r="46" spans="1:11" ht="18.75" customHeight="1" x14ac:dyDescent="0.2"/>
    <row r="47" spans="1:11" ht="18.75" customHeight="1" x14ac:dyDescent="0.3">
      <c r="A47" s="109" t="s">
        <v>109</v>
      </c>
      <c r="B47" s="39"/>
      <c r="C47" s="39"/>
      <c r="D47" s="39"/>
      <c r="E47" s="39"/>
      <c r="F47" s="39"/>
      <c r="G47" s="39"/>
      <c r="H47" s="39"/>
      <c r="I47" s="39"/>
      <c r="J47" s="39"/>
      <c r="K47" s="39"/>
    </row>
    <row r="48" spans="1:11" ht="18.75" customHeight="1" x14ac:dyDescent="0.25">
      <c r="A48" s="110" t="s">
        <v>599</v>
      </c>
      <c r="B48" s="110"/>
      <c r="C48" s="39"/>
      <c r="D48" s="39"/>
      <c r="E48" s="39"/>
      <c r="F48" s="39"/>
      <c r="G48" s="39"/>
      <c r="H48" s="39"/>
      <c r="I48" s="39"/>
      <c r="J48" s="39"/>
      <c r="K48" s="39"/>
    </row>
    <row r="49" spans="1:18" ht="18.75" customHeight="1" x14ac:dyDescent="0.25">
      <c r="A49" s="110" t="s">
        <v>205</v>
      </c>
      <c r="B49" s="110"/>
      <c r="C49" s="39"/>
      <c r="D49" s="39"/>
      <c r="E49" s="39"/>
      <c r="F49" s="39"/>
      <c r="G49" s="39"/>
      <c r="H49" s="39"/>
      <c r="I49" s="39"/>
      <c r="J49" s="39"/>
      <c r="K49" s="39"/>
    </row>
    <row r="50" spans="1:18" s="14" customFormat="1" ht="18.75" customHeight="1" x14ac:dyDescent="0.25">
      <c r="A50" s="167" t="s">
        <v>593</v>
      </c>
      <c r="B50" s="167"/>
      <c r="C50" s="167"/>
      <c r="D50" s="167"/>
      <c r="E50" s="167"/>
      <c r="F50" s="167"/>
      <c r="G50" s="167"/>
      <c r="H50" s="167"/>
      <c r="I50" s="167"/>
      <c r="J50" s="167"/>
      <c r="K50" s="167"/>
      <c r="L50" s="167"/>
      <c r="M50" s="167"/>
      <c r="N50" s="167"/>
      <c r="O50" s="167"/>
    </row>
    <row r="51" spans="1:18" ht="17.25" customHeight="1" x14ac:dyDescent="0.2">
      <c r="A51" s="168" t="s">
        <v>594</v>
      </c>
      <c r="B51" s="168"/>
      <c r="C51" s="168"/>
      <c r="D51" s="168"/>
      <c r="E51" s="168"/>
      <c r="F51" s="168"/>
      <c r="G51" s="168"/>
      <c r="H51" s="168"/>
      <c r="I51" s="168"/>
      <c r="J51" s="168"/>
      <c r="K51" s="168"/>
      <c r="L51" s="168"/>
      <c r="M51" s="168"/>
      <c r="N51" s="168"/>
      <c r="O51" s="168"/>
    </row>
    <row r="52" spans="1:18" ht="15" customHeight="1" x14ac:dyDescent="0.2">
      <c r="A52" s="169" t="s">
        <v>596</v>
      </c>
      <c r="B52" s="169"/>
      <c r="C52" s="169"/>
      <c r="D52" s="169"/>
      <c r="E52" s="169"/>
      <c r="F52" s="169"/>
      <c r="G52" s="169"/>
      <c r="H52" s="169"/>
      <c r="I52" s="169"/>
      <c r="J52" s="169"/>
      <c r="K52" s="169"/>
      <c r="L52" s="169"/>
      <c r="M52" s="169"/>
      <c r="N52" s="169"/>
      <c r="O52" s="169"/>
      <c r="P52" s="169"/>
    </row>
    <row r="53" spans="1:18" s="14" customFormat="1" ht="13.5" customHeight="1" x14ac:dyDescent="0.2">
      <c r="A53" s="169" t="s">
        <v>595</v>
      </c>
      <c r="B53" s="169"/>
      <c r="C53" s="169"/>
      <c r="D53" s="169"/>
      <c r="E53" s="169"/>
      <c r="F53" s="169"/>
      <c r="G53" s="169"/>
      <c r="H53" s="169"/>
      <c r="I53" s="169"/>
      <c r="J53" s="169"/>
      <c r="K53" s="169"/>
      <c r="L53" s="169"/>
      <c r="M53" s="169"/>
    </row>
    <row r="54" spans="1:18" s="14" customFormat="1" x14ac:dyDescent="0.2">
      <c r="A54" s="166"/>
      <c r="B54" s="13"/>
      <c r="C54" s="13"/>
      <c r="D54" s="13"/>
      <c r="E54" s="13"/>
      <c r="F54" s="13"/>
      <c r="G54" s="13"/>
      <c r="H54" s="13"/>
      <c r="I54" s="13"/>
      <c r="J54" s="13"/>
      <c r="K54" s="13"/>
      <c r="L54" s="13"/>
      <c r="M54" s="13"/>
    </row>
    <row r="55" spans="1:18" x14ac:dyDescent="0.2">
      <c r="A55" s="74"/>
    </row>
    <row r="56" spans="1:18" ht="20.25" x14ac:dyDescent="0.3">
      <c r="A56" s="109" t="s">
        <v>238</v>
      </c>
      <c r="B56" s="3"/>
    </row>
    <row r="57" spans="1:18" ht="15" x14ac:dyDescent="0.25">
      <c r="A57" s="116">
        <v>1</v>
      </c>
      <c r="B57" s="75" t="s">
        <v>305</v>
      </c>
    </row>
    <row r="58" spans="1:18" x14ac:dyDescent="0.2">
      <c r="B58" s="75"/>
    </row>
    <row r="59" spans="1:18" ht="20.25" x14ac:dyDescent="0.3">
      <c r="A59" s="109" t="s">
        <v>191</v>
      </c>
      <c r="B59" s="3"/>
      <c r="C59" s="14"/>
    </row>
    <row r="60" spans="1:18" ht="15" x14ac:dyDescent="0.25">
      <c r="A60" s="117">
        <v>1</v>
      </c>
      <c r="B60" s="88" t="s">
        <v>210</v>
      </c>
      <c r="C60" s="75"/>
      <c r="D60" s="75"/>
      <c r="E60" s="75"/>
      <c r="F60" s="75"/>
      <c r="G60" s="75"/>
      <c r="H60" s="75"/>
      <c r="I60" s="75"/>
      <c r="J60" s="75"/>
      <c r="K60" s="75"/>
      <c r="L60" s="75"/>
      <c r="M60" s="75"/>
      <c r="N60" s="75"/>
      <c r="O60" s="75"/>
      <c r="P60" s="75"/>
      <c r="Q60" s="75"/>
      <c r="R60" s="75"/>
    </row>
  </sheetData>
  <mergeCells count="4">
    <mergeCell ref="A50:O50"/>
    <mergeCell ref="A51:O51"/>
    <mergeCell ref="A53:M53"/>
    <mergeCell ref="A52:P52"/>
  </mergeCells>
  <phoneticPr fontId="62" type="noConversion"/>
  <pageMargins left="0.75" right="0.75" top="0.5" bottom="0.5" header="0.3" footer="0.3"/>
  <pageSetup scale="35" fitToHeight="0" orientation="portrait" r:id="rId1"/>
  <headerFooter scaleWithDoc="0">
    <oddFooter xml:space="preserve">&amp;L&amp;8      80-NH713-1 V
&amp;C&amp;8 &amp;P
&amp;"Arial,Bold" MAY CONTAIN U.S. AND INTERNATIONAL EXPORT CONTROLLED INFORMATION&amp;R&amp;8 Confidential and Proprietary - Qualcomm Technologies, Inc.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N142"/>
  <sheetViews>
    <sheetView zoomScale="80" zoomScaleNormal="80" zoomScaleSheetLayoutView="100" zoomScalePageLayoutView="80" workbookViewId="0">
      <selection activeCell="B14" sqref="B14"/>
    </sheetView>
  </sheetViews>
  <sheetFormatPr defaultColWidth="9.140625" defaultRowHeight="12.75" x14ac:dyDescent="0.2"/>
  <cols>
    <col min="1" max="1" width="3.28515625" style="14" customWidth="1"/>
    <col min="2" max="2" width="92.7109375" style="14" customWidth="1"/>
    <col min="3" max="3" width="14.7109375" style="14" customWidth="1"/>
    <col min="4" max="4" width="15.7109375" style="14" customWidth="1"/>
    <col min="5" max="5" width="10.28515625" style="14" customWidth="1"/>
    <col min="6" max="6" width="15" style="14" customWidth="1"/>
    <col min="7" max="10" width="9.140625" style="14"/>
    <col min="11" max="11" width="6.5703125" style="14" customWidth="1"/>
    <col min="12" max="12" width="10" style="14" bestFit="1" customWidth="1"/>
    <col min="13" max="13" width="11" style="14" customWidth="1"/>
    <col min="14" max="14" width="12.85546875" style="14" customWidth="1"/>
    <col min="15" max="16384" width="9.140625" style="14"/>
  </cols>
  <sheetData>
    <row r="1" spans="2:14" ht="18" x14ac:dyDescent="0.25">
      <c r="B1" s="66" t="s">
        <v>128</v>
      </c>
      <c r="C1" s="66"/>
      <c r="K1" s="65"/>
      <c r="L1" s="65"/>
      <c r="M1" s="62"/>
      <c r="N1" s="62"/>
    </row>
    <row r="2" spans="2:14" x14ac:dyDescent="0.2">
      <c r="B2" s="58" t="s">
        <v>127</v>
      </c>
      <c r="C2" s="59">
        <v>60</v>
      </c>
      <c r="D2" s="14" t="s">
        <v>67</v>
      </c>
    </row>
    <row r="3" spans="2:14" x14ac:dyDescent="0.2">
      <c r="B3" s="58" t="s">
        <v>126</v>
      </c>
      <c r="C3" s="59">
        <v>2</v>
      </c>
      <c r="D3" s="14" t="s">
        <v>29</v>
      </c>
      <c r="E3" s="56" t="s">
        <v>116</v>
      </c>
    </row>
    <row r="4" spans="2:14" x14ac:dyDescent="0.2">
      <c r="B4" s="58" t="s">
        <v>125</v>
      </c>
      <c r="C4" s="59">
        <v>3</v>
      </c>
      <c r="D4" s="14" t="s">
        <v>28</v>
      </c>
    </row>
    <row r="5" spans="2:14" ht="15" x14ac:dyDescent="0.25">
      <c r="C5" s="60"/>
    </row>
    <row r="6" spans="2:14" x14ac:dyDescent="0.2">
      <c r="B6" s="14" t="s">
        <v>124</v>
      </c>
      <c r="C6" s="61">
        <f>C8</f>
        <v>480</v>
      </c>
      <c r="D6" s="1" t="s">
        <v>12</v>
      </c>
      <c r="E6" s="14" t="s">
        <v>13</v>
      </c>
      <c r="K6" s="64"/>
      <c r="L6" s="62"/>
      <c r="M6" s="62"/>
      <c r="N6" s="62"/>
    </row>
    <row r="7" spans="2:14" x14ac:dyDescent="0.2">
      <c r="B7" s="14" t="s">
        <v>123</v>
      </c>
      <c r="C7" s="61">
        <f>C9</f>
        <v>800</v>
      </c>
      <c r="D7" s="1" t="s">
        <v>14</v>
      </c>
      <c r="E7" s="14" t="s">
        <v>13</v>
      </c>
      <c r="K7" s="62"/>
      <c r="L7" s="62"/>
      <c r="M7" s="62"/>
      <c r="N7" s="62"/>
    </row>
    <row r="8" spans="2:14" x14ac:dyDescent="0.2">
      <c r="B8" s="58" t="s">
        <v>122</v>
      </c>
      <c r="C8" s="59">
        <v>480</v>
      </c>
      <c r="D8" s="1" t="s">
        <v>12</v>
      </c>
      <c r="E8" s="14" t="s">
        <v>16</v>
      </c>
      <c r="K8" s="62"/>
      <c r="L8" s="62"/>
      <c r="M8" s="62"/>
      <c r="N8" s="62"/>
    </row>
    <row r="9" spans="2:14" x14ac:dyDescent="0.2">
      <c r="B9" s="58" t="s">
        <v>121</v>
      </c>
      <c r="C9" s="59">
        <v>800</v>
      </c>
      <c r="D9" s="1" t="s">
        <v>14</v>
      </c>
      <c r="E9" s="14" t="s">
        <v>16</v>
      </c>
      <c r="K9" s="62"/>
      <c r="L9" s="62"/>
      <c r="M9" s="62"/>
      <c r="N9" s="62"/>
    </row>
    <row r="10" spans="2:14" ht="15" x14ac:dyDescent="0.25">
      <c r="C10" s="60"/>
      <c r="D10" s="1"/>
      <c r="K10" s="62"/>
      <c r="L10" s="62"/>
      <c r="M10" s="62"/>
      <c r="N10" s="62"/>
    </row>
    <row r="11" spans="2:14" x14ac:dyDescent="0.2">
      <c r="B11" s="58" t="s">
        <v>120</v>
      </c>
      <c r="C11" s="59">
        <v>6</v>
      </c>
      <c r="D11" s="1" t="s">
        <v>62</v>
      </c>
      <c r="E11" s="56" t="s">
        <v>116</v>
      </c>
      <c r="K11" s="64"/>
      <c r="L11" s="62"/>
      <c r="M11" s="62"/>
      <c r="N11" s="62"/>
    </row>
    <row r="12" spans="2:14" x14ac:dyDescent="0.2">
      <c r="B12" s="58" t="s">
        <v>119</v>
      </c>
      <c r="C12" s="59">
        <v>80</v>
      </c>
      <c r="D12" s="1" t="s">
        <v>62</v>
      </c>
      <c r="E12" s="56" t="s">
        <v>116</v>
      </c>
      <c r="K12" s="64"/>
      <c r="L12" s="62"/>
      <c r="M12" s="62"/>
      <c r="N12" s="62"/>
    </row>
    <row r="13" spans="2:14" x14ac:dyDescent="0.2">
      <c r="B13" s="14" t="s">
        <v>118</v>
      </c>
      <c r="C13" s="61">
        <f>C11+C12</f>
        <v>86</v>
      </c>
      <c r="D13" s="1" t="s">
        <v>62</v>
      </c>
      <c r="K13" s="62"/>
      <c r="L13" s="63"/>
      <c r="M13" s="62"/>
      <c r="N13" s="62"/>
    </row>
    <row r="14" spans="2:14" x14ac:dyDescent="0.2">
      <c r="B14" s="58" t="s">
        <v>117</v>
      </c>
      <c r="C14" s="59">
        <v>80</v>
      </c>
      <c r="D14" s="1" t="s">
        <v>62</v>
      </c>
      <c r="E14" s="56" t="s">
        <v>116</v>
      </c>
      <c r="K14" s="62"/>
      <c r="L14" s="63"/>
      <c r="M14" s="62"/>
      <c r="N14" s="62"/>
    </row>
    <row r="15" spans="2:14" ht="15" x14ac:dyDescent="0.25">
      <c r="C15" s="60"/>
      <c r="D15" s="1"/>
      <c r="E15" s="14" t="str">
        <f>IF(C113&lt;C118, "horizontal total is too short if link goes to LP11 during BLLP", "horizontal total ok")</f>
        <v>horizontal total ok</v>
      </c>
    </row>
    <row r="16" spans="2:14" x14ac:dyDescent="0.2">
      <c r="B16" s="58" t="s">
        <v>21</v>
      </c>
      <c r="C16" s="59">
        <v>6</v>
      </c>
      <c r="D16" s="1" t="s">
        <v>14</v>
      </c>
    </row>
    <row r="17" spans="2:7" x14ac:dyDescent="0.2">
      <c r="B17" s="58" t="s">
        <v>22</v>
      </c>
      <c r="C17" s="59">
        <v>14</v>
      </c>
      <c r="D17" s="1" t="s">
        <v>14</v>
      </c>
    </row>
    <row r="18" spans="2:7" x14ac:dyDescent="0.2">
      <c r="B18" s="14" t="s">
        <v>306</v>
      </c>
      <c r="C18" s="61">
        <f>C16+C17</f>
        <v>20</v>
      </c>
      <c r="D18" s="1" t="s">
        <v>14</v>
      </c>
    </row>
    <row r="19" spans="2:7" x14ac:dyDescent="0.2">
      <c r="B19" s="58" t="s">
        <v>23</v>
      </c>
      <c r="C19" s="59">
        <v>20</v>
      </c>
      <c r="D19" s="1" t="s">
        <v>14</v>
      </c>
    </row>
    <row r="20" spans="2:7" ht="15" x14ac:dyDescent="0.25">
      <c r="B20" s="55"/>
      <c r="C20" s="60"/>
      <c r="D20" s="1"/>
    </row>
    <row r="21" spans="2:7" x14ac:dyDescent="0.2">
      <c r="B21" s="58" t="s">
        <v>177</v>
      </c>
      <c r="C21" s="59">
        <v>19.2</v>
      </c>
      <c r="D21" s="1" t="s">
        <v>15</v>
      </c>
    </row>
    <row r="22" spans="2:7" x14ac:dyDescent="0.2">
      <c r="B22" s="58" t="s">
        <v>95</v>
      </c>
      <c r="C22" s="58">
        <v>1</v>
      </c>
      <c r="D22" s="1"/>
    </row>
    <row r="23" spans="2:7" x14ac:dyDescent="0.2">
      <c r="B23" s="55"/>
      <c r="C23" s="55"/>
      <c r="D23" s="1"/>
    </row>
    <row r="24" spans="2:7" x14ac:dyDescent="0.2">
      <c r="B24" s="58" t="s">
        <v>185</v>
      </c>
      <c r="C24" s="58" t="s">
        <v>213</v>
      </c>
      <c r="D24" s="1"/>
    </row>
    <row r="25" spans="2:7" x14ac:dyDescent="0.2">
      <c r="B25" s="39" t="s">
        <v>184</v>
      </c>
      <c r="C25" s="39">
        <f>IF(OR(C24="SM8150", C24="SC8180", C24=" SA8155"),4,
IF(OR(C24="8x98",C24="SDM845", C24="SDM710", C24="SDM712", C24="SDM670", C24="QCS603", C24="QCS605"),3,
IF(OR(C24="8x96",C24="8x53",C24="SDM660",C24="SDM630", C24="SDM632", C24="SDM636", C24="SM6150", C24="SA6155", C24="QCS610", C24="SDM450", C24="SDM455"),2,
IF(OR(C24="SDM439", C24="SDM429"), "SDM4X9",
1))))</f>
        <v>1</v>
      </c>
      <c r="D25" s="1"/>
    </row>
    <row r="26" spans="2:7" hidden="1" x14ac:dyDescent="0.2">
      <c r="B26" s="82" t="s">
        <v>78</v>
      </c>
      <c r="C26" s="83"/>
      <c r="D26" s="57"/>
      <c r="E26" s="11"/>
      <c r="F26" s="11"/>
      <c r="G26" s="11"/>
    </row>
    <row r="27" spans="2:7" hidden="1" x14ac:dyDescent="0.2">
      <c r="B27" s="89" t="s">
        <v>115</v>
      </c>
      <c r="C27" s="83"/>
      <c r="D27" s="57"/>
      <c r="E27" s="11"/>
      <c r="F27" s="11"/>
      <c r="G27" s="11"/>
    </row>
    <row r="28" spans="2:7" x14ac:dyDescent="0.2">
      <c r="B28" s="58" t="s">
        <v>236</v>
      </c>
      <c r="C28" s="58">
        <v>0</v>
      </c>
      <c r="D28" s="1"/>
      <c r="E28" s="56" t="s">
        <v>116</v>
      </c>
      <c r="F28" s="14" t="s">
        <v>239</v>
      </c>
    </row>
    <row r="29" spans="2:7" x14ac:dyDescent="0.2">
      <c r="B29" s="58" t="s">
        <v>269</v>
      </c>
      <c r="C29" s="58">
        <v>0</v>
      </c>
      <c r="D29" s="1"/>
    </row>
    <row r="30" spans="2:7" x14ac:dyDescent="0.2">
      <c r="B30" s="58" t="s">
        <v>270</v>
      </c>
      <c r="C30" s="58">
        <v>1</v>
      </c>
      <c r="D30" s="1"/>
    </row>
    <row r="32" spans="2:7" ht="18" x14ac:dyDescent="0.25">
      <c r="B32" s="50" t="s">
        <v>52</v>
      </c>
      <c r="C32" s="54"/>
    </row>
    <row r="34" spans="2:4" x14ac:dyDescent="0.2">
      <c r="B34" s="44" t="s">
        <v>17</v>
      </c>
      <c r="C34" s="44">
        <f>SUM(C6,C11,C12,C14)</f>
        <v>646</v>
      </c>
      <c r="D34" s="44" t="s">
        <v>18</v>
      </c>
    </row>
    <row r="35" spans="2:4" x14ac:dyDescent="0.2">
      <c r="B35" s="44" t="s">
        <v>19</v>
      </c>
      <c r="C35" s="44">
        <f>SUM(C7,C16,C17,C19)</f>
        <v>840</v>
      </c>
      <c r="D35" s="44" t="s">
        <v>20</v>
      </c>
    </row>
    <row r="36" spans="2:4" x14ac:dyDescent="0.2">
      <c r="B36" s="44" t="s">
        <v>65</v>
      </c>
      <c r="C36" s="45">
        <f>(C34*C35)/(C6*C7)</f>
        <v>1.413125</v>
      </c>
    </row>
    <row r="38" spans="2:4" x14ac:dyDescent="0.2">
      <c r="B38" s="2" t="s">
        <v>24</v>
      </c>
      <c r="C38" s="2" t="s">
        <v>25</v>
      </c>
    </row>
    <row r="39" spans="2:4" x14ac:dyDescent="0.2">
      <c r="B39" s="3" t="s">
        <v>53</v>
      </c>
      <c r="C39" s="53" t="str">
        <f>DEC2HEX(C34*2^16 + C11)</f>
        <v>2860006</v>
      </c>
    </row>
    <row r="40" spans="2:4" x14ac:dyDescent="0.2">
      <c r="B40" s="3" t="s">
        <v>54</v>
      </c>
      <c r="C40" s="7" t="str">
        <f>DEC2HEX(C35*C34)</f>
        <v>847B0</v>
      </c>
    </row>
    <row r="41" spans="2:4" x14ac:dyDescent="0.2">
      <c r="B41" s="3" t="s">
        <v>55</v>
      </c>
      <c r="C41" s="7" t="str">
        <f>DEC2HEX(C16*C34)</f>
        <v>F24</v>
      </c>
    </row>
    <row r="42" spans="2:4" x14ac:dyDescent="0.2">
      <c r="B42" s="3" t="s">
        <v>56</v>
      </c>
      <c r="C42" s="7" t="str">
        <f>DEC2HEX((C34-C14-1)*2^16 + C13)</f>
        <v>2350056</v>
      </c>
    </row>
    <row r="43" spans="2:4" x14ac:dyDescent="0.2">
      <c r="B43" s="3" t="s">
        <v>57</v>
      </c>
      <c r="C43" s="7" t="str">
        <f>DEC2HEX(C18*C34)</f>
        <v>3278</v>
      </c>
    </row>
    <row r="44" spans="2:4" x14ac:dyDescent="0.2">
      <c r="B44" s="3" t="s">
        <v>58</v>
      </c>
      <c r="C44" s="7" t="str">
        <f>DEC2HEX((C35-C19)*C34 - 1)</f>
        <v>81537</v>
      </c>
    </row>
    <row r="45" spans="2:4" x14ac:dyDescent="0.2">
      <c r="B45" s="3" t="s">
        <v>59</v>
      </c>
      <c r="C45" s="7">
        <f>IF(C6&gt;C8,DEC2HEX( 1*2^31 + (C13+INT((C6-C8)/2) + C8-1)*2^16 + C13+INT((C6-C8)/2)), 0)</f>
        <v>0</v>
      </c>
      <c r="D45" s="170" t="s">
        <v>26</v>
      </c>
    </row>
    <row r="46" spans="2:4" x14ac:dyDescent="0.2">
      <c r="B46" s="3" t="s">
        <v>60</v>
      </c>
      <c r="C46" s="7">
        <f>IF(C7&gt;C9,DEC2HEX( 1*2^31 + (C18+INT((C7-C9)/2))*C34), 0)</f>
        <v>0</v>
      </c>
      <c r="D46" s="170"/>
    </row>
    <row r="47" spans="2:4" x14ac:dyDescent="0.2">
      <c r="B47" s="3" t="s">
        <v>61</v>
      </c>
      <c r="C47" s="7">
        <f>IF(C7&gt;C9,DEC2HEX(( C18+INT((C7-C9)/2)+C9)*C34 - 1), 0)</f>
        <v>0</v>
      </c>
      <c r="D47" s="170"/>
    </row>
    <row r="49" spans="2:3" ht="18" x14ac:dyDescent="0.25">
      <c r="B49" s="50" t="s">
        <v>76</v>
      </c>
    </row>
    <row r="50" spans="2:3" x14ac:dyDescent="0.2">
      <c r="B50" s="44"/>
      <c r="C50" s="44" t="s">
        <v>114</v>
      </c>
    </row>
    <row r="51" spans="2:3" x14ac:dyDescent="0.2">
      <c r="B51" s="44" t="s">
        <v>0</v>
      </c>
      <c r="C51" s="52">
        <v>0</v>
      </c>
    </row>
    <row r="52" spans="2:3" x14ac:dyDescent="0.2">
      <c r="B52" s="44" t="s">
        <v>1</v>
      </c>
      <c r="C52" s="52">
        <f>C11</f>
        <v>6</v>
      </c>
    </row>
    <row r="53" spans="2:3" x14ac:dyDescent="0.2">
      <c r="B53" s="44" t="s">
        <v>2</v>
      </c>
      <c r="C53" s="52">
        <v>0</v>
      </c>
    </row>
    <row r="54" spans="2:3" x14ac:dyDescent="0.2">
      <c r="B54" s="44" t="s">
        <v>3</v>
      </c>
      <c r="C54" s="52">
        <v>0</v>
      </c>
    </row>
    <row r="55" spans="2:3" x14ac:dyDescent="0.2">
      <c r="B55" s="44" t="s">
        <v>4</v>
      </c>
      <c r="C55" s="52">
        <v>0</v>
      </c>
    </row>
    <row r="56" spans="2:3" x14ac:dyDescent="0.2">
      <c r="B56" s="44" t="s">
        <v>5</v>
      </c>
      <c r="C56" s="52">
        <f>C16</f>
        <v>6</v>
      </c>
    </row>
    <row r="57" spans="2:3" x14ac:dyDescent="0.2">
      <c r="B57" s="44" t="s">
        <v>6</v>
      </c>
      <c r="C57" s="52">
        <f>C8+C11+C12+C14-1</f>
        <v>645</v>
      </c>
    </row>
    <row r="58" spans="2:3" x14ac:dyDescent="0.2">
      <c r="B58" s="44" t="s">
        <v>7</v>
      </c>
      <c r="C58" s="52">
        <f>C16+C17+C19+C9-1</f>
        <v>839</v>
      </c>
    </row>
    <row r="59" spans="2:3" x14ac:dyDescent="0.2">
      <c r="B59" s="44" t="s">
        <v>8</v>
      </c>
      <c r="C59" s="52">
        <f>C11+C12</f>
        <v>86</v>
      </c>
    </row>
    <row r="60" spans="2:3" x14ac:dyDescent="0.2">
      <c r="B60" s="44" t="s">
        <v>9</v>
      </c>
      <c r="C60" s="52">
        <f>C11+C12+C8</f>
        <v>566</v>
      </c>
    </row>
    <row r="61" spans="2:3" x14ac:dyDescent="0.2">
      <c r="B61" s="44" t="s">
        <v>10</v>
      </c>
      <c r="C61" s="52">
        <f>C16+C17</f>
        <v>20</v>
      </c>
    </row>
    <row r="62" spans="2:3" x14ac:dyDescent="0.2">
      <c r="B62" s="44" t="s">
        <v>11</v>
      </c>
      <c r="C62" s="52">
        <f>C9+C16+C17</f>
        <v>820</v>
      </c>
    </row>
    <row r="63" spans="2:3" x14ac:dyDescent="0.2">
      <c r="B63" s="44"/>
      <c r="C63" s="52"/>
    </row>
    <row r="64" spans="2:3" x14ac:dyDescent="0.2">
      <c r="B64" s="2" t="s">
        <v>24</v>
      </c>
      <c r="C64" s="2" t="s">
        <v>25</v>
      </c>
    </row>
    <row r="65" spans="2:3" x14ac:dyDescent="0.2">
      <c r="B65" s="3" t="s">
        <v>71</v>
      </c>
      <c r="C65" s="7" t="str">
        <f>DEC2HEX(C60*2^16 + C59)</f>
        <v>2360056</v>
      </c>
    </row>
    <row r="66" spans="2:3" x14ac:dyDescent="0.2">
      <c r="B66" s="3" t="s">
        <v>72</v>
      </c>
      <c r="C66" s="7" t="str">
        <f>DEC2HEX(C62*2^16+C61)</f>
        <v>3340014</v>
      </c>
    </row>
    <row r="67" spans="2:3" x14ac:dyDescent="0.2">
      <c r="B67" s="3" t="s">
        <v>73</v>
      </c>
      <c r="C67" s="7" t="str">
        <f>DEC2HEX(C58*2^16 + C57)</f>
        <v>3470285</v>
      </c>
    </row>
    <row r="68" spans="2:3" x14ac:dyDescent="0.2">
      <c r="B68" s="3" t="s">
        <v>83</v>
      </c>
      <c r="C68" s="7" t="str">
        <f>DEC2HEX(C52*2^16+C51)</f>
        <v>60000</v>
      </c>
    </row>
    <row r="69" spans="2:3" x14ac:dyDescent="0.2">
      <c r="B69" s="3" t="s">
        <v>74</v>
      </c>
      <c r="C69" s="7" t="str">
        <f>DEC2HEX(C54*2^16+C53)</f>
        <v>0</v>
      </c>
    </row>
    <row r="70" spans="2:3" x14ac:dyDescent="0.2">
      <c r="B70" s="3" t="s">
        <v>75</v>
      </c>
      <c r="C70" s="7" t="str">
        <f>DEC2HEX(C56*2^16+C55)</f>
        <v>60000</v>
      </c>
    </row>
    <row r="71" spans="2:3" x14ac:dyDescent="0.2">
      <c r="C71" s="51"/>
    </row>
    <row r="72" spans="2:3" x14ac:dyDescent="0.2">
      <c r="B72" s="3" t="str">
        <f>'DSI PHY timing setting'!A42</f>
        <v>DSI_CLKOUT_TIMING_CTRL</v>
      </c>
      <c r="C72" s="7" t="str">
        <f xml:space="preserve"> IF(PHY_MAJOR_VERSION="SDM4x9",0,
IF(PHY_MAJOR_VERSION=1,'DSI PHY timing setting'!B42,
IF(PHY_MAJOR_VERSION=2,'DSI PHY 2.0.0 timing setting'!B57,
IF(PHY_MAJOR_VERSION=3,'DSI PHY 3.0.0 DPHY timing'!B50,
IF(PHY_MAJOR_VERSION=4,'DSI PHY 4.0.0 DPHY timing'!B54,
"error")))))</f>
        <v>419</v>
      </c>
    </row>
    <row r="73" spans="2:3" x14ac:dyDescent="0.2">
      <c r="B73" s="3" t="str">
        <f>'DSI PHY timing setting'!A43</f>
        <v xml:space="preserve">DSI_TEST_PATTERN_GEN_VIDEO_ENABLE </v>
      </c>
      <c r="C73" s="7">
        <f xml:space="preserve"> IF(PHY_MAJOR_VERSION="SDM4x9",0,
IF(PHY_MAJOR_VERSION&lt;2,'DSI PHY timing setting'!B43,
IF(PHY_MAJOR_VERSION=2,'DSI PHY 2.0.0 timing setting'!B58,
IF(PHY_MAJOR_VERSION=3,'DSI PHY 3.0.0 DPHY timing'!B51,
IF(PHY_MAJOR_VERSION=4,'DSI PHY 4.0.0 DPHY timing'!B55,
"error")))))</f>
        <v>0</v>
      </c>
    </row>
    <row r="74" spans="2:3" x14ac:dyDescent="0.2">
      <c r="B74" s="3" t="str">
        <f>IF(PHY_MAJOR_VERSION=4, 'DSI PHY 4.0.0 DPHY timing'!A56, "")</f>
        <v/>
      </c>
      <c r="C74" s="75" t="str">
        <f>IF(PHY_MAJOR_VERSION=4, 'DSI PHY 4.0.0 DPHY timing'!B56, "")</f>
        <v/>
      </c>
    </row>
    <row r="75" spans="2:3" x14ac:dyDescent="0.2">
      <c r="B75" s="3" t="str">
        <f>IF(PHY_MAJOR_VERSION=4, 'DSI PHY 4.0.0 DPHY timing'!A57, IF(PHY_MAJOR_VERSION=3,'DSI PHY 3.0.0 DPHY timing'!A52,  IF(PHY_MAJOR_VERSION=2, 'DSI PHY 2.0.0 timing setting'!A59, "")))</f>
        <v/>
      </c>
      <c r="C75" s="3" t="str">
        <f>IF(PHY_MAJOR_VERSION=4, 'DSI PHY 4.0.0 DPHY timing'!B57,
IF(PHY_MAJOR_VERSION=3,'DSI PHY 3.0.0 DPHY timing'!B52,
IF(PHY_MAJOR_VERSION=2, 'DSI PHY 2.0.0 timing setting'!B59,
"")))</f>
        <v/>
      </c>
    </row>
    <row r="76" spans="2:3" x14ac:dyDescent="0.2">
      <c r="B76" s="3" t="str">
        <f>IF(PHY_MAJOR_VERSION=4, 'DSI PHY 4.0.0 DPHY timing'!A58, IF(PHY_MAJOR_VERSION=3,'DSI PHY 3.0.0 DPHY timing'!A53,  IF(PHY_MAJOR_VERSION=2, 'DSI PHY 2.0.0 timing setting'!A60, "")))</f>
        <v/>
      </c>
      <c r="C76" s="3" t="str">
        <f>IF(PHY_MAJOR_VERSION=4, 'DSI PHY 4.0.0 DPHY timing'!B58,
IF(PHY_MAJOR_VERSION=3,'DSI PHY 3.0.0 DPHY timing'!B53,
IF(PHY_MAJOR_VERSION=2, 'DSI PHY 2.0.0 timing setting'!B60,
"")))</f>
        <v/>
      </c>
    </row>
    <row r="77" spans="2:3" ht="25.5" x14ac:dyDescent="0.2">
      <c r="B77" s="135" t="str">
        <f>IF(PHY_MAJOR_VERSION=4, 'DSI PHY 4.0.0 DPHY timing'!A59, IF(PHY_MAJOR_VERSION=3,'DSI PHY 3.0.0 DPHY timing'!A54,  IF(PHY_MAJOR_VERSION=2, 'DSI PHY 2.0.0 timing setting'!A61, "")))</f>
        <v/>
      </c>
      <c r="C77" s="3" t="str">
        <f>IF(PHY_MAJOR_VERSION=4, 'DSI PHY 4.0.0 DPHY timing'!B59,
IF(PHY_MAJOR_VERSION=3,'DSI PHY 3.0.0 DPHY timing'!B54,
IF(PHY_MAJOR_VERSION=2, 'DSI PHY 2.0.0 timing setting'!B61,
"")))</f>
        <v/>
      </c>
    </row>
    <row r="78" spans="2:3" x14ac:dyDescent="0.2">
      <c r="B78" s="3"/>
      <c r="C78" s="7"/>
    </row>
    <row r="79" spans="2:3" ht="18" x14ac:dyDescent="0.25">
      <c r="B79" s="50" t="s">
        <v>82</v>
      </c>
      <c r="C79" s="7"/>
    </row>
    <row r="80" spans="2:3" x14ac:dyDescent="0.2">
      <c r="B80" s="10" t="str">
        <f xml:space="preserve"> IF(PHY_MAJOR_VERSION="SDM4x9", 'SDM439 DPHY timing'!A41,
IF(PHY_MAJOR_VERSION=4, 'DSI PHY 4.0.0 DPHY timing'!A37,
IF(PHY_MAJOR_VERSION=3, 'DSI PHY 3.0.0 DPHY timing'!A36,
IF(PHY_MAJOR_VERSION=1, 'DSI PHY timing setting'!A28,
'DSI PHY 2.0.0 timing setting'!A38))))</f>
        <v>PHY Registers</v>
      </c>
      <c r="C80" s="10" t="str">
        <f xml:space="preserve"> IF(PHY_MAJOR_VERSION="SDM4x9", 'SDM439 DPHY timing'!B41,
IF(PHY_MAJOR_VERSION=4, 'DSI PHY 4.0.0 DPHY timing'!B37,
IF(PHY_MAJOR_VERSION=3, 'DSI PHY 3.0.0 DPHY timing'!B36,
IF(PHY_MAJOR_VERSION=1, 'DSI PHY timing setting'!B28,
'DSI PHY 2.0.0 timing setting'!B38))))</f>
        <v>value in hex</v>
      </c>
    </row>
    <row r="81" spans="2:3" x14ac:dyDescent="0.2">
      <c r="B81" s="10" t="str">
        <f xml:space="preserve"> IF(PHY_MAJOR_VERSION="SDM4x9", 'SDM439 DPHY timing'!A42,
IF(PHY_MAJOR_VERSION=4, 'DSI PHY 4.0.0 DPHY timing'!A38,
IF(PHY_MAJOR_VERSION=3, 'DSI PHY 3.0.0 DPHY timing'!A37,
IF(PHY_MAJOR_VERSION=1, 'DSI PHY timing setting'!A29,
'DSI PHY 2.0.0 timing setting'!A39))))</f>
        <v>DSIPHY_TIMING_CTRL_0</v>
      </c>
      <c r="C81" s="10" t="str">
        <f xml:space="preserve"> IF(PHY_MAJOR_VERSION="SDM4x9", 'SDM439 DPHY timing'!B42,
IF(PHY_MAJOR_VERSION=4, 'DSI PHY 4.0.0 DPHY timing'!B38,
IF(PHY_MAJOR_VERSION=3, 'DSI PHY 3.0.0 DPHY timing'!B37,
IF(PHY_MAJOR_VERSION=1, 'DSI PHY timing setting'!B29,
'DSI PHY 2.0.0 timing setting'!B39))))</f>
        <v>76</v>
      </c>
    </row>
    <row r="82" spans="2:3" x14ac:dyDescent="0.2">
      <c r="B82" s="10" t="str">
        <f xml:space="preserve"> IF(PHY_MAJOR_VERSION="SDM4x9", 'SDM439 DPHY timing'!A43,
IF(PHY_MAJOR_VERSION=4, 'DSI PHY 4.0.0 DPHY timing'!A39,
IF(PHY_MAJOR_VERSION=3, 'DSI PHY 3.0.0 DPHY timing'!A38,
IF(PHY_MAJOR_VERSION=1, 'DSI PHY timing setting'!A30,
'DSI PHY 2.0.0 timing setting'!A40))))</f>
        <v>DSIPHY_TIMING_CTRL_1</v>
      </c>
      <c r="C82" s="10" t="str">
        <f xml:space="preserve"> IF(PHY_MAJOR_VERSION="SDM4x9", 'SDM439 DPHY timing'!B43,
IF(PHY_MAJOR_VERSION=4, 'DSI PHY 4.0.0 DPHY timing'!B39,
IF(PHY_MAJOR_VERSION=3, 'DSI PHY 3.0.0 DPHY timing'!B38,
IF(PHY_MAJOR_VERSION=1, 'DSI PHY timing setting'!B30,
'DSI PHY 2.0.0 timing setting'!B40))))</f>
        <v>18</v>
      </c>
    </row>
    <row r="83" spans="2:3" x14ac:dyDescent="0.2">
      <c r="B83" s="10" t="str">
        <f xml:space="preserve"> IF(PHY_MAJOR_VERSION="SDM4x9", 'SDM439 DPHY timing'!A44,
IF(PHY_MAJOR_VERSION=4, 'DSI PHY 4.0.0 DPHY timing'!A40,
IF(PHY_MAJOR_VERSION=3, 'DSI PHY 3.0.0 DPHY timing'!A39,
IF(PHY_MAJOR_VERSION=1, 'DSI PHY timing setting'!A31,
'DSI PHY 2.0.0 timing setting'!A41))))</f>
        <v>DSIPHY_TIMING_CTRL_2</v>
      </c>
      <c r="C83" s="10" t="str">
        <f xml:space="preserve"> IF(PHY_MAJOR_VERSION="SDM4x9", 'SDM439 DPHY timing'!B44,
IF(PHY_MAJOR_VERSION=4, 'DSI PHY 4.0.0 DPHY timing'!B40,
IF(PHY_MAJOR_VERSION=3, 'DSI PHY 3.0.0 DPHY timing'!B39,
IF(PHY_MAJOR_VERSION=1, 'DSI PHY timing setting'!B31,
'DSI PHY 2.0.0 timing setting'!B41))))</f>
        <v>10</v>
      </c>
    </row>
    <row r="84" spans="2:3" x14ac:dyDescent="0.2">
      <c r="B84" s="10" t="str">
        <f xml:space="preserve"> IF(PHY_MAJOR_VERSION="SDM4x9", 'SDM439 DPHY timing'!A45,
IF(PHY_MAJOR_VERSION=4, 'DSI PHY 4.0.0 DPHY timing'!A41,
IF(PHY_MAJOR_VERSION=3, 'DSI PHY 3.0.0 DPHY timing'!A40,
IF(PHY_MAJOR_VERSION=1, 'DSI PHY timing setting'!A32,
'DSI PHY 2.0.0 timing setting'!A42))))</f>
        <v xml:space="preserve">DSIPHY_TIMING_CTRL_3 </v>
      </c>
      <c r="C84" s="10">
        <f xml:space="preserve"> IF(PHY_MAJOR_VERSION="SDM4x9", 'SDM439 DPHY timing'!B45,
IF(PHY_MAJOR_VERSION=4, 'DSI PHY 4.0.0 DPHY timing'!B41,
IF(PHY_MAJOR_VERSION=3, 'DSI PHY 3.0.0 DPHY timing'!B40,
IF(PHY_MAJOR_VERSION=1, 'DSI PHY timing setting'!B32,
'DSI PHY 2.0.0 timing setting'!B42))))</f>
        <v>0</v>
      </c>
    </row>
    <row r="85" spans="2:3" x14ac:dyDescent="0.2">
      <c r="B85" s="10" t="str">
        <f xml:space="preserve"> IF(PHY_MAJOR_VERSION="SDM4x9", 'SDM439 DPHY timing'!A46,
IF(PHY_MAJOR_VERSION=4, 'DSI PHY 4.0.0 DPHY timing'!A42,
IF(PHY_MAJOR_VERSION=3, 'DSI PHY 3.0.0 DPHY timing'!A41,
IF(PHY_MAJOR_VERSION=1, 'DSI PHY timing setting'!A33,
'DSI PHY 2.0.0 timing setting'!A43))))</f>
        <v>DSIPHY_TIMING_CTRL_4</v>
      </c>
      <c r="C85" s="10" t="str">
        <f xml:space="preserve"> IF(PHY_MAJOR_VERSION="SDM4x9", 'SDM439 DPHY timing'!B46,
IF(PHY_MAJOR_VERSION=4, 'DSI PHY 4.0.0 DPHY timing'!B42,
IF(PHY_MAJOR_VERSION=3, 'DSI PHY 3.0.0 DPHY timing'!B41,
IF(PHY_MAJOR_VERSION=1, 'DSI PHY timing setting'!B33,
'DSI PHY 2.0.0 timing setting'!B43))))</f>
        <v>3A</v>
      </c>
    </row>
    <row r="86" spans="2:3" x14ac:dyDescent="0.2">
      <c r="B86" s="10" t="str">
        <f xml:space="preserve"> IF(PHY_MAJOR_VERSION="SDM4x9", 'SDM439 DPHY timing'!A47,
IF(PHY_MAJOR_VERSION=4, 'DSI PHY 4.0.0 DPHY timing'!A43,
IF(PHY_MAJOR_VERSION=3, 'DSI PHY 3.0.0 DPHY timing'!A42,
IF(PHY_MAJOR_VERSION=1, 'DSI PHY timing setting'!A34,
'DSI PHY 2.0.0 timing setting'!A44))))</f>
        <v>DSIPHY_TIMING_CTRL_5</v>
      </c>
      <c r="C86" s="10" t="str">
        <f xml:space="preserve"> IF(PHY_MAJOR_VERSION="SDM4x9", 'SDM439 DPHY timing'!B47,
IF(PHY_MAJOR_VERSION=4, 'DSI PHY 4.0.0 DPHY timing'!B43,
IF(PHY_MAJOR_VERSION=3, 'DSI PHY 3.0.0 DPHY timing'!B42,
IF(PHY_MAJOR_VERSION=1, 'DSI PHY timing setting'!B34,
'DSI PHY 2.0.0 timing setting'!B44))))</f>
        <v>3E</v>
      </c>
    </row>
    <row r="87" spans="2:3" x14ac:dyDescent="0.2">
      <c r="B87" s="10" t="str">
        <f xml:space="preserve"> IF(PHY_MAJOR_VERSION="SDM4x9", 'SDM439 DPHY timing'!A48,
IF(PHY_MAJOR_VERSION=4, 'DSI PHY 4.0.0 DPHY timing'!A44,
IF(PHY_MAJOR_VERSION=3, 'DSI PHY 3.0.0 DPHY timing'!A43,
IF(PHY_MAJOR_VERSION=1, 'DSI PHY timing setting'!A35,
'DSI PHY 2.0.0 timing setting'!A45))))</f>
        <v>DSIPHY_TIMING_CTRL_6</v>
      </c>
      <c r="C87" s="10" t="str">
        <f xml:space="preserve"> IF(PHY_MAJOR_VERSION="SDM4x9", 'SDM439 DPHY timing'!B48,
IF(PHY_MAJOR_VERSION=4, 'DSI PHY 4.0.0 DPHY timing'!B44,
IF(PHY_MAJOR_VERSION=3, 'DSI PHY 3.0.0 DPHY timing'!B43,
IF(PHY_MAJOR_VERSION=1, 'DSI PHY timing setting'!B35,
'DSI PHY 2.0.0 timing setting'!B45))))</f>
        <v>14</v>
      </c>
    </row>
    <row r="88" spans="2:3" x14ac:dyDescent="0.2">
      <c r="B88" s="10" t="str">
        <f xml:space="preserve"> IF(PHY_MAJOR_VERSION="SDM4x9", 'SDM439 DPHY timing'!A49,
IF(PHY_MAJOR_VERSION=4, 'DSI PHY 4.0.0 DPHY timing'!A45,
IF(PHY_MAJOR_VERSION=3, 'DSI PHY 3.0.0 DPHY timing'!A44,
IF(PHY_MAJOR_VERSION=1, 'DSI PHY timing setting'!A36,
'DSI PHY 2.0.0 timing setting'!A46))))</f>
        <v>DSIPHY_TIMING_CTRL_7</v>
      </c>
      <c r="C88" s="10" t="str">
        <f xml:space="preserve"> IF(PHY_MAJOR_VERSION="SDM4x9", 'SDM439 DPHY timing'!B49,
IF(PHY_MAJOR_VERSION=4, 'DSI PHY 4.0.0 DPHY timing'!B45,
IF(PHY_MAJOR_VERSION=3, 'DSI PHY 3.0.0 DPHY timing'!B44,
IF(PHY_MAJOR_VERSION=1, 'DSI PHY timing setting'!B36,
'DSI PHY 2.0.0 timing setting'!B46))))</f>
        <v>1C</v>
      </c>
    </row>
    <row r="89" spans="2:3" x14ac:dyDescent="0.2">
      <c r="B89" s="10" t="str">
        <f xml:space="preserve"> IF(PHY_MAJOR_VERSION="SDM4x9", 'SDM439 DPHY timing'!A50,
IF(PHY_MAJOR_VERSION=4, 'DSI PHY 4.0.0 DPHY timing'!A46,
IF(PHY_MAJOR_VERSION=3, 'DSI PHY 3.0.0 DPHY timing'!A45,
IF(PHY_MAJOR_VERSION=1, 'DSI PHY timing setting'!A37,
'DSI PHY 2.0.0 timing setting'!A47))))</f>
        <v>DSIPHY_TIMING_CTRL_8</v>
      </c>
      <c r="C89" s="10" t="str">
        <f xml:space="preserve"> IF(PHY_MAJOR_VERSION="SDM4x9", 'SDM439 DPHY timing'!B50,
IF(PHY_MAJOR_VERSION=4, 'DSI PHY 4.0.0 DPHY timing'!B46,
IF(PHY_MAJOR_VERSION=3, 'DSI PHY 3.0.0 DPHY timing'!B45,
IF(PHY_MAJOR_VERSION=1, 'DSI PHY timing setting'!B37,
'DSI PHY 2.0.0 timing setting'!B47))))</f>
        <v>12</v>
      </c>
    </row>
    <row r="90" spans="2:3" x14ac:dyDescent="0.2">
      <c r="B90" s="10" t="str">
        <f xml:space="preserve"> IF(PHY_MAJOR_VERSION="SDM4x9", 'SDM439 DPHY timing'!A51,
IF(PHY_MAJOR_VERSION=4, 'DSI PHY 4.0.0 DPHY timing'!A47,
IF(PHY_MAJOR_VERSION=3, 'DSI PHY 3.0.0 DPHY timing'!A46,
IF(PHY_MAJOR_VERSION=1, 'DSI PHY timing setting'!A38,
'DSI PHY 2.0.0 timing setting'!A48))))</f>
        <v>DSIPHY_TIMING_CTRL_9</v>
      </c>
      <c r="C90" s="10" t="str">
        <f xml:space="preserve"> IF(PHY_MAJOR_VERSION="SDM4x9", 'SDM439 DPHY timing'!B51,
IF(PHY_MAJOR_VERSION=4, 'DSI PHY 4.0.0 DPHY timing'!B47,
IF(PHY_MAJOR_VERSION=3, 'DSI PHY 3.0.0 DPHY timing'!B46,
IF(PHY_MAJOR_VERSION=1, 'DSI PHY timing setting'!B38,
'DSI PHY 2.0.0 timing setting'!B48))))</f>
        <v>3</v>
      </c>
    </row>
    <row r="91" spans="2:3" x14ac:dyDescent="0.2">
      <c r="B91" s="10" t="str">
        <f xml:space="preserve"> IF(PHY_MAJOR_VERSION="SDM4x9", 'SDM439 DPHY timing'!A52,
IF(PHY_MAJOR_VERSION=4, 'DSI PHY 4.0.0 DPHY timing'!A48,
IF(PHY_MAJOR_VERSION=3, 'DSI PHY 3.0.0 DPHY timing'!A47,
IF(PHY_MAJOR_VERSION=1, 'DSI PHY timing setting'!A39,
'DSI PHY 2.0.0 timing setting'!A49))))</f>
        <v>DSIPHY_TIMING_CTRL_10</v>
      </c>
      <c r="C91" s="10" t="str">
        <f xml:space="preserve"> IF(PHY_MAJOR_VERSION="SDM4x9", 'SDM439 DPHY timing'!B52,
IF(PHY_MAJOR_VERSION=4, 'DSI PHY 4.0.0 DPHY timing'!B48,
IF(PHY_MAJOR_VERSION=3, 'DSI PHY 3.0.0 DPHY timing'!B47,
IF(PHY_MAJOR_VERSION=1, 'DSI PHY timing setting'!B39,
'DSI PHY 2.0.0 timing setting'!B49))))</f>
        <v>4</v>
      </c>
    </row>
    <row r="92" spans="2:3" x14ac:dyDescent="0.2">
      <c r="B92" s="10" t="str">
        <f xml:space="preserve"> IF(PHY_MAJOR_VERSION="SDM4x9", 'SDM439 DPHY timing'!A53,
IF(PHY_MAJOR_VERSION=4, 'DSI PHY 4.0.0 DPHY timing'!A49,
IF(PHY_MAJOR_VERSION&lt;&gt;2, "",
'DSI PHY 2.0.0 timing setting'!A50)))</f>
        <v/>
      </c>
      <c r="C92" s="10" t="str">
        <f>IF(PHY_MAJOR_VERSION="SDM4x9", 'SDM439 DPHY timing'!B53,
IF(PHY_MAJOR_VERSION=4, 'DSI PHY 4.0.0 DPHY timing'!B49,
IF(PHY_MAJOR_VERSION&lt;&gt;2, "",
'DSI PHY 2.0.0 timing setting'!B50)))</f>
        <v/>
      </c>
    </row>
    <row r="93" spans="2:3" x14ac:dyDescent="0.2">
      <c r="B93" s="10" t="str">
        <f>IF(PHY_MAJOR_VERSION="SDM4x9", 'SDM439 DPHY timing'!A54,
IF(PHY_MAJOR_VERSION=4, 'DSI PHY 4.0.0 DPHY timing'!A50,
IF(PHY_MAJOR_VERSION&lt;&gt;2, "",
'DSI PHY 2.0.0 timing setting'!A51)))</f>
        <v/>
      </c>
      <c r="C93" s="10" t="str">
        <f>IF(PHY_MAJOR_VERSION="SDM4x9", 'SDM439 DPHY timing'!B53,
IF(PHY_MAJOR_VERSION=4, 'DSI PHY 4.0.0 DPHY timing'!B50,
IF(PHY_MAJOR_VERSION&lt;&gt;2, "",
'DSI PHY 2.0.0 timing setting'!B51)))</f>
        <v/>
      </c>
    </row>
    <row r="94" spans="2:3" x14ac:dyDescent="0.2">
      <c r="B94" s="10" t="str">
        <f>IF(PHY_MAJOR_VERSION="SDM4x9", 'SDM439 DPHY timing'!A55,
IF(PHY_MAJOR_VERSION=4, 'DSI PHY 4.0.0 DPHY timing'!A51,
IF(PHY_MAJOR_VERSION&lt;&gt;2, "",
'DSI PHY 2.0.0 timing setting'!A52)))</f>
        <v/>
      </c>
      <c r="C94" s="10" t="str">
        <f>IF(PHY_MAJOR_VERSION="SDM4x9", 'SDM439 DPHY timing'!B53,
IF(PHY_MAJOR_VERSION=4, 'DSI PHY 4.0.0 DPHY timing'!B51,
IF(PHY_MAJOR_VERSION&lt;&gt;2, "",
'DSI PHY 2.0.0 timing setting'!B52)))</f>
        <v/>
      </c>
    </row>
    <row r="95" spans="2:3" x14ac:dyDescent="0.2">
      <c r="B95" s="10" t="str">
        <f>IF(PHY_MAJOR_VERSION="SDM4x9", 'SDM439 DPHY timing'!A56,
IF(PHY_MAJOR_VERSION&lt;&gt;2, "",
'DSI PHY 2.0.0 timing setting'!A53))</f>
        <v/>
      </c>
      <c r="C95" s="10" t="str">
        <f>IF(PHY_MAJOR_VERSION="SDM4x9", 'SDM439 DPHY timing'!B53,
IF(PHY_MAJOR_VERSION&lt;&gt;2, "",
'DSI PHY 2.0.0 timing setting'!B53))</f>
        <v/>
      </c>
    </row>
    <row r="96" spans="2:3" x14ac:dyDescent="0.2">
      <c r="B96" s="10" t="str">
        <f>IF(PHY_MAJOR_VERSION="SDM4x9", 'SDM439 DPHY timing'!A57,IF(PHY_MAJOR_VERSION&lt;&gt;2, "", 'DSI PHY 2.0.0 timing setting'!A54))</f>
        <v/>
      </c>
      <c r="C96" s="10" t="str">
        <f>IF(PHY_MAJOR_VERSION="SDM4x9", 'SDM439 DPHY timing'!B53,
IF(PHY_MAJOR_VERSION&lt;&gt;2, "",
'DSI PHY 2.0.0 timing setting'!B54))</f>
        <v/>
      </c>
    </row>
    <row r="97" spans="2:6" x14ac:dyDescent="0.2">
      <c r="B97" s="10" t="str">
        <f>IF(PHY_MAJOR_VERSION="SDM4x9", 'SDM439 DPHY timing'!A58, "")</f>
        <v/>
      </c>
      <c r="C97" s="10" t="str">
        <f>IF(PHY_MAJOR_VERSION="SDM4x9", 'SDM439 DPHY timing'!B58, "")</f>
        <v/>
      </c>
    </row>
    <row r="98" spans="2:6" x14ac:dyDescent="0.2">
      <c r="B98" s="10" t="str">
        <f>IF(PHY_MAJOR_VERSION="SDM4x9", 'SDM439 DPHY timing'!A59, "")</f>
        <v/>
      </c>
      <c r="C98" s="10" t="str">
        <f>IF(PHY_MAJOR_VERSION="SDM4x9", 'SDM439 DPHY timing'!B59, "")</f>
        <v/>
      </c>
    </row>
    <row r="99" spans="2:6" x14ac:dyDescent="0.2">
      <c r="B99" s="10" t="str">
        <f>IF(PHY_MAJOR_VERSION="SDM4x9", 'SDM439 DPHY timing'!A60, "")</f>
        <v/>
      </c>
      <c r="C99" s="10" t="str">
        <f>IF(PHY_MAJOR_VERSION="SDM4x9", 'SDM439 DPHY timing'!B60, "")</f>
        <v/>
      </c>
    </row>
    <row r="100" spans="2:6" x14ac:dyDescent="0.2">
      <c r="B100" s="10" t="str">
        <f>IF(PHY_MAJOR_VERSION="SDM4x9", 'SDM439 DPHY timing'!A61, "")</f>
        <v/>
      </c>
      <c r="C100" s="10" t="str">
        <f>IF(PHY_MAJOR_VERSION="SDM4x9", 'SDM439 DPHY timing'!B61, "")</f>
        <v/>
      </c>
    </row>
    <row r="101" spans="2:6" x14ac:dyDescent="0.2">
      <c r="B101" s="10" t="str">
        <f>IF(PHY_MAJOR_VERSION="SDM4x9", 'SDM439 DPHY timing'!A62, "")</f>
        <v/>
      </c>
      <c r="C101" s="10" t="str">
        <f>IF(PHY_MAJOR_VERSION="SDM4x9", 'SDM439 DPHY timing'!B62, "")</f>
        <v/>
      </c>
    </row>
    <row r="102" spans="2:6" x14ac:dyDescent="0.2">
      <c r="B102" s="10" t="str">
        <f>IF(PHY_MAJOR_VERSION="SDM4x9", 'SDM439 DPHY timing'!A63, "")</f>
        <v/>
      </c>
      <c r="C102" s="10" t="str">
        <f>IF(PHY_MAJOR_VERSION="SDM4x9", 'SDM439 DPHY timing'!B63, "")</f>
        <v/>
      </c>
    </row>
    <row r="104" spans="2:6" ht="23.25" x14ac:dyDescent="0.35">
      <c r="B104" s="49" t="s">
        <v>27</v>
      </c>
      <c r="C104" s="3"/>
    </row>
    <row r="105" spans="2:6" x14ac:dyDescent="0.2">
      <c r="B105" s="14" t="s">
        <v>84</v>
      </c>
      <c r="C105" s="9">
        <f>C34*C35*C2*C4*8*0.000001/C3</f>
        <v>390.70079999999996</v>
      </c>
      <c r="D105" s="14" t="s">
        <v>15</v>
      </c>
    </row>
    <row r="106" spans="2:6" x14ac:dyDescent="0.2">
      <c r="B106" s="14" t="s">
        <v>85</v>
      </c>
      <c r="C106" s="9">
        <f>C105/8</f>
        <v>48.837599999999995</v>
      </c>
      <c r="D106" s="14" t="s">
        <v>15</v>
      </c>
    </row>
    <row r="107" spans="2:6" hidden="1" x14ac:dyDescent="0.2">
      <c r="B107" s="14" t="s">
        <v>86</v>
      </c>
      <c r="C107" s="9">
        <f>C106*C3</f>
        <v>97.67519999999999</v>
      </c>
      <c r="D107" s="14" t="s">
        <v>15</v>
      </c>
      <c r="E107" s="48"/>
      <c r="F107" s="48"/>
    </row>
    <row r="108" spans="2:6" x14ac:dyDescent="0.2">
      <c r="B108" s="14" t="s">
        <v>87</v>
      </c>
      <c r="C108" s="9">
        <f>C107/C4</f>
        <v>32.558399999999999</v>
      </c>
      <c r="D108" s="14" t="s">
        <v>15</v>
      </c>
    </row>
    <row r="109" spans="2:6" x14ac:dyDescent="0.2">
      <c r="C109" s="9"/>
    </row>
    <row r="110" spans="2:6" x14ac:dyDescent="0.2">
      <c r="C110" s="47"/>
    </row>
    <row r="111" spans="2:6" x14ac:dyDescent="0.2">
      <c r="B111" s="46" t="s">
        <v>70</v>
      </c>
      <c r="C111" s="44"/>
      <c r="D111" s="44"/>
    </row>
    <row r="112" spans="2:6" x14ac:dyDescent="0.2">
      <c r="B112" s="44" t="s">
        <v>68</v>
      </c>
      <c r="C112" s="44">
        <f>(C36-1)*100</f>
        <v>41.3125</v>
      </c>
      <c r="D112" s="44" t="s">
        <v>69</v>
      </c>
    </row>
    <row r="113" spans="2:4" x14ac:dyDescent="0.2">
      <c r="B113" s="44" t="s">
        <v>113</v>
      </c>
      <c r="C113" s="45">
        <f>C34/C108</f>
        <v>19.841269841269842</v>
      </c>
      <c r="D113" s="44" t="s">
        <v>156</v>
      </c>
    </row>
    <row r="114" spans="2:4" x14ac:dyDescent="0.2">
      <c r="B114" s="44" t="s">
        <v>66</v>
      </c>
      <c r="C114" s="45">
        <f>C13/C108</f>
        <v>2.6414074401690502</v>
      </c>
      <c r="D114" s="44" t="s">
        <v>156</v>
      </c>
    </row>
    <row r="115" spans="2:4" x14ac:dyDescent="0.2">
      <c r="B115" s="44" t="s">
        <v>30</v>
      </c>
      <c r="C115" s="45">
        <f>C6/C108</f>
        <v>14.742739200943536</v>
      </c>
      <c r="D115" s="44" t="s">
        <v>156</v>
      </c>
    </row>
    <row r="116" spans="2:4" x14ac:dyDescent="0.2">
      <c r="B116" s="44" t="s">
        <v>31</v>
      </c>
      <c r="C116" s="45">
        <f>C14/C108</f>
        <v>2.4571232001572558</v>
      </c>
      <c r="D116" s="44" t="s">
        <v>156</v>
      </c>
    </row>
    <row r="117" spans="2:4" x14ac:dyDescent="0.2">
      <c r="B117" s="44" t="s">
        <v>272</v>
      </c>
      <c r="C117" s="44">
        <f>0.001*
IF(PHY_MAJOR_VERSION="SDM4x9", 'SDM439 DPHY timing'!B37,
IF(PHY_MAJOR_VERSION=4, 'DSI PHY 4.0.0 DPHY timing'!H28,
IF(PHY_MAJOR_VERSION=3, 'DSI PHY 3.0.0 DPHY timing'!H28,
IF(PHY_MAJOR_VERSION=2, 'DSI PHY 2.0.0 timing setting'!H30,
'DSI PHY timing setting'!H25
))))</f>
        <v>1.4461538461538463</v>
      </c>
      <c r="D117" s="44" t="s">
        <v>156</v>
      </c>
    </row>
    <row r="118" spans="2:4" x14ac:dyDescent="0.2">
      <c r="B118" s="44" t="s">
        <v>273</v>
      </c>
      <c r="C118" s="44">
        <f>IF(PHY_MAJOR_VERSION="SDM4x9", ROUNDUP(13/C108+24/C106+C117, 2),
ROUNDUP(IF(C28=0, 13/C108+24/C106+272/C105+C117,
                                      13/C108+20/C106+140/C105+C117), 2))</f>
        <v>3.0399999999999996</v>
      </c>
      <c r="D118" s="44" t="s">
        <v>156</v>
      </c>
    </row>
    <row r="123" spans="2:4" ht="23.25" x14ac:dyDescent="0.35">
      <c r="B123" s="49" t="s">
        <v>579</v>
      </c>
    </row>
    <row r="124" spans="2:4" ht="12" customHeight="1" x14ac:dyDescent="0.2">
      <c r="B124" s="3" t="s">
        <v>570</v>
      </c>
    </row>
    <row r="125" spans="2:4" ht="15" customHeight="1" x14ac:dyDescent="0.2">
      <c r="B125" s="165" t="s">
        <v>572</v>
      </c>
      <c r="C125" s="165">
        <v>2</v>
      </c>
    </row>
    <row r="126" spans="2:4" ht="15" customHeight="1" x14ac:dyDescent="0.2">
      <c r="B126" s="165" t="s">
        <v>573</v>
      </c>
      <c r="C126" s="165">
        <v>3</v>
      </c>
    </row>
    <row r="127" spans="2:4" x14ac:dyDescent="0.2">
      <c r="B127" s="165" t="s">
        <v>569</v>
      </c>
      <c r="C127" s="165">
        <v>1</v>
      </c>
    </row>
    <row r="128" spans="2:4" x14ac:dyDescent="0.2">
      <c r="B128" s="14" t="s">
        <v>562</v>
      </c>
      <c r="C128" s="14">
        <f>4 / C3 * (1/C106)</f>
        <v>4.0952053335954267E-2</v>
      </c>
    </row>
    <row r="129" spans="2:3" x14ac:dyDescent="0.2">
      <c r="B129" s="14" t="s">
        <v>563</v>
      </c>
      <c r="C129" s="14">
        <f>C11*(1/C108)</f>
        <v>0.18428424001179419</v>
      </c>
    </row>
    <row r="130" spans="2:3" x14ac:dyDescent="0.2">
      <c r="B130" s="14" t="s">
        <v>577</v>
      </c>
      <c r="C130" s="14">
        <f>IF(OR(C125&lt;2, AND(C125=22, C126&lt;3)), 2, 1)*C118</f>
        <v>3.0399999999999996</v>
      </c>
    </row>
    <row r="131" spans="2:3" x14ac:dyDescent="0.2">
      <c r="B131" s="14" t="s">
        <v>578</v>
      </c>
      <c r="C131" s="14">
        <f>C118</f>
        <v>3.0399999999999996</v>
      </c>
    </row>
    <row r="132" spans="2:3" x14ac:dyDescent="0.2">
      <c r="B132" s="14" t="s">
        <v>575</v>
      </c>
      <c r="C132" s="14">
        <f>INT((C113-C130-IF(C127=0, C129, C128))/(1/C106))</f>
        <v>818</v>
      </c>
    </row>
    <row r="133" spans="2:3" x14ac:dyDescent="0.2">
      <c r="B133" s="14" t="s">
        <v>576</v>
      </c>
      <c r="C133" s="14">
        <f>INT(((C113-C131-IF(C127=0, C129, C128))/(1/C21)-14)/16)</f>
        <v>19</v>
      </c>
    </row>
    <row r="135" spans="2:3" x14ac:dyDescent="0.2">
      <c r="B135" s="3" t="s">
        <v>571</v>
      </c>
    </row>
    <row r="136" spans="2:3" x14ac:dyDescent="0.2">
      <c r="B136" s="165" t="s">
        <v>564</v>
      </c>
      <c r="C136" s="165">
        <v>4</v>
      </c>
    </row>
    <row r="137" spans="2:3" x14ac:dyDescent="0.2">
      <c r="B137" s="165" t="s">
        <v>565</v>
      </c>
      <c r="C137" s="165">
        <v>50</v>
      </c>
    </row>
    <row r="138" spans="2:3" x14ac:dyDescent="0.2">
      <c r="B138" s="165" t="s">
        <v>566</v>
      </c>
      <c r="C138" s="165">
        <v>0</v>
      </c>
    </row>
    <row r="139" spans="2:3" x14ac:dyDescent="0.2">
      <c r="B139" s="165" t="s">
        <v>569</v>
      </c>
      <c r="C139" s="165">
        <v>1</v>
      </c>
    </row>
    <row r="140" spans="2:3" x14ac:dyDescent="0.2">
      <c r="B140" s="14" t="s">
        <v>567</v>
      </c>
      <c r="C140" s="14">
        <f>IF(C138=0, C136/C3*1000/C106, (14+C136*16)*(1000/C21))</f>
        <v>40.952053335954268</v>
      </c>
    </row>
    <row r="141" spans="2:3" x14ac:dyDescent="0.2">
      <c r="B141" s="14" t="s">
        <v>574</v>
      </c>
      <c r="C141" s="14">
        <f>1000 * (C113 - IF(C139=0, C129, C128) - IF(C138=0, C130,C131))</f>
        <v>16760.317787933891</v>
      </c>
    </row>
    <row r="142" spans="2:3" x14ac:dyDescent="0.2">
      <c r="B142" s="14" t="s">
        <v>568</v>
      </c>
      <c r="C142" s="14">
        <f>INT(((C141-C140-12/C21-12*C137)/C137-20)/16)</f>
        <v>18</v>
      </c>
    </row>
  </sheetData>
  <mergeCells count="1">
    <mergeCell ref="D45:D47"/>
  </mergeCells>
  <phoneticPr fontId="62"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75" right="0.75" top="0.5" bottom="0.5" header="0.3" footer="0.3"/>
  <pageSetup scale="48" fitToHeight="0" orientation="portrait" r:id="rId1"/>
  <headerFooter scaleWithDoc="0">
    <oddFooter xml:space="preserve">&amp;L&amp;8      80-NH713-1 V
&amp;C&amp;8&amp;P
 &amp;"Arial,Bold"MAY CONTAIN U.S. AND INTERNATIONAL EXPORT CONTROLLED INFORMATION&amp;R&amp;8Confidential and Proprietary - Qualcomm Technologies, Inc.
</oddFooter>
  </headerFooter>
  <rowBreaks count="1" manualBreakCount="1">
    <brk id="47" max="16383" man="1"/>
  </row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'User Instructions'!$B$3:$B$44</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51"/>
  <sheetViews>
    <sheetView showGridLines="0" tabSelected="1" view="pageBreakPreview" topLeftCell="A4" zoomScaleNormal="85" zoomScaleSheetLayoutView="100" workbookViewId="0">
      <selection activeCell="D30" sqref="D30"/>
    </sheetView>
  </sheetViews>
  <sheetFormatPr defaultColWidth="9.140625" defaultRowHeight="12.75" x14ac:dyDescent="0.2"/>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x14ac:dyDescent="0.25">
      <c r="A1" s="8" t="s">
        <v>80</v>
      </c>
    </row>
    <row r="2" spans="1:9" ht="18" x14ac:dyDescent="0.25">
      <c r="A2" s="12" t="s">
        <v>129</v>
      </c>
      <c r="B2" s="11"/>
      <c r="G2" s="16"/>
    </row>
    <row r="3" spans="1:9" x14ac:dyDescent="0.2">
      <c r="A3" s="24" t="s">
        <v>96</v>
      </c>
      <c r="B3" s="67">
        <f>ROUNDDOWN('DSI and MDP registers'!C105, 0)</f>
        <v>390</v>
      </c>
      <c r="C3" s="14" t="s">
        <v>97</v>
      </c>
    </row>
    <row r="4" spans="1:9" x14ac:dyDescent="0.2">
      <c r="A4" s="24" t="s">
        <v>33</v>
      </c>
      <c r="B4" s="68">
        <f>'DSI and MDP registers'!C21/'DSI and MDP registers'!C22</f>
        <v>19.2</v>
      </c>
      <c r="C4" s="14" t="s">
        <v>15</v>
      </c>
      <c r="E4" s="31" t="s">
        <v>100</v>
      </c>
      <c r="F4" s="26"/>
      <c r="G4" s="21" t="str">
        <f>IF(MOD(($F$16+$G$10+$F$11),8)=0,"VALID","INVALID")</f>
        <v>VALID</v>
      </c>
    </row>
    <row r="5" spans="1:9" x14ac:dyDescent="0.2">
      <c r="A5" s="24" t="s">
        <v>36</v>
      </c>
      <c r="B5" s="25">
        <f>10^3/B3</f>
        <v>2.5641025641025643</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71" t="s">
        <v>92</v>
      </c>
      <c r="C8" s="172"/>
      <c r="D8" s="173" t="s">
        <v>77</v>
      </c>
      <c r="E8" s="173"/>
      <c r="F8" s="173"/>
      <c r="G8" s="42" t="s">
        <v>130</v>
      </c>
      <c r="H8" s="174" t="s">
        <v>186</v>
      </c>
      <c r="I8" s="6"/>
    </row>
    <row r="9" spans="1:9" s="3" customFormat="1" x14ac:dyDescent="0.2">
      <c r="A9" s="30"/>
      <c r="B9" s="27" t="s">
        <v>50</v>
      </c>
      <c r="C9" s="19" t="s">
        <v>51</v>
      </c>
      <c r="D9" s="43" t="s">
        <v>63</v>
      </c>
      <c r="E9" s="43" t="s">
        <v>64</v>
      </c>
      <c r="F9" s="20"/>
      <c r="G9" s="42" t="s">
        <v>49</v>
      </c>
      <c r="H9" s="175"/>
      <c r="I9" s="6"/>
    </row>
    <row r="10" spans="1:9" x14ac:dyDescent="0.2">
      <c r="A10" s="30" t="s">
        <v>32</v>
      </c>
      <c r="B10" s="28">
        <v>38</v>
      </c>
      <c r="C10" s="21">
        <v>95</v>
      </c>
      <c r="D10" s="18">
        <f>ROUNDUP(B10/$B$5, 0) - 2</f>
        <v>13</v>
      </c>
      <c r="E10" s="18">
        <f>ROUNDUP(C10/$B$5, 0) - 2</f>
        <v>36</v>
      </c>
      <c r="F10" s="18">
        <f>IF(MOD(ROUNDUP((E10-D10)*($F$48/100)+D10, 0),2)=0, ROUNDUP((E10-D10)*($F$48/100)+D10, 0), ROUNDUP((E10-D10)*($F$48/100)+D10, 0)-1)</f>
        <v>16</v>
      </c>
      <c r="G10" s="22">
        <f>F10</f>
        <v>16</v>
      </c>
      <c r="H10" s="17">
        <f>(QUOTIENT(G10,2)+1)*2*$B$5</f>
        <v>46.15384615384616</v>
      </c>
    </row>
    <row r="11" spans="1:9" x14ac:dyDescent="0.2">
      <c r="A11" s="30" t="s">
        <v>34</v>
      </c>
      <c r="B11" s="28">
        <f>300-H10</f>
        <v>253.84615384615384</v>
      </c>
      <c r="C11" s="21"/>
      <c r="D11" s="18">
        <f>ROUNDUP(B11/$B$5, 0) - 2</f>
        <v>97</v>
      </c>
      <c r="E11" s="18">
        <f>IF(D11&gt; 255, 511, 255)</f>
        <v>255</v>
      </c>
      <c r="F11" s="18">
        <v>118</v>
      </c>
      <c r="G11" s="22">
        <f>IF(MOD(($F$16 + $G$10 + $F$11), 8)=0, $F$11, "INVALID")</f>
        <v>118</v>
      </c>
      <c r="H11" s="17">
        <f>(QUOTIENT(G11,2)+1)*2*$B$5</f>
        <v>307.69230769230774</v>
      </c>
    </row>
    <row r="12" spans="1:9" x14ac:dyDescent="0.2">
      <c r="A12" s="30" t="s">
        <v>35</v>
      </c>
      <c r="B12" s="28">
        <v>60</v>
      </c>
      <c r="C12" s="21">
        <f>C22-$B$7</f>
        <v>115.76923076923077</v>
      </c>
      <c r="D12" s="18">
        <f>ROUNDUP(B12/$B$5, 0) - 2</f>
        <v>22</v>
      </c>
      <c r="E12" s="18">
        <f>ROUNDUP(C12/$B$5, 0) - 2</f>
        <v>44</v>
      </c>
      <c r="F12" s="18">
        <f>IF(MOD(ROUNDUP((E12-D12)*($F$51/100)+D12, 0),2)=0, ROUNDUP((E12-D12)*($F$51/100)+D12, 0), ROUNDUP((E12-D12)*($F$51/100)+D12, 0)-1)</f>
        <v>24</v>
      </c>
      <c r="G12" s="22">
        <f>IF(F12 &lt; 0, 0, F12)</f>
        <v>24</v>
      </c>
      <c r="H12" s="17">
        <f t="shared" ref="H12:H17" si="0">(QUOTIENT(G12,2)+1)*2*$B$5</f>
        <v>66.666666666666671</v>
      </c>
    </row>
    <row r="13" spans="1:9" x14ac:dyDescent="0.2">
      <c r="A13" s="30" t="s">
        <v>38</v>
      </c>
      <c r="B13" s="28">
        <f>40+4*B5</f>
        <v>50.256410256410255</v>
      </c>
      <c r="C13" s="21">
        <f>85+6*B5</f>
        <v>100.38461538461539</v>
      </c>
      <c r="D13" s="18">
        <f>ROUNDUP(B13/$B$5, 0) - 2</f>
        <v>18</v>
      </c>
      <c r="E13" s="18">
        <f>ROUNDUP(C13/$B$5, 0) - 2</f>
        <v>38</v>
      </c>
      <c r="F13" s="18">
        <f>IF(MOD(ROUNDUP((E13-D13)*($F$49/100)+D13, 0),2)=0, ROUNDUP((E13-D13)*($F$49/100)+D13, 0), ROUNDUP((E13-D13)*($F$49/100)+D13, 0)-1)</f>
        <v>20</v>
      </c>
      <c r="G13" s="22">
        <f>IF(F13 &lt; 0, 0, F13)</f>
        <v>20</v>
      </c>
      <c r="H13" s="17">
        <f>(QUOTIENT(G13,2)+1)*2*$B$5 + 2*$B$5</f>
        <v>61.538461538461547</v>
      </c>
      <c r="I13" s="48"/>
    </row>
    <row r="14" spans="1:9" x14ac:dyDescent="0.2">
      <c r="A14" s="30" t="s">
        <v>39</v>
      </c>
      <c r="B14" s="28">
        <f>145+10*B5-H13</f>
        <v>109.10256410256409</v>
      </c>
      <c r="C14" s="21"/>
      <c r="D14" s="18">
        <f>ROUNDUP(B14/$B$5, 0) - 2</f>
        <v>41</v>
      </c>
      <c r="E14" s="18">
        <v>255</v>
      </c>
      <c r="F14" s="18">
        <f>IF(MOD(ROUNDUP((E14-D14)*($F$50/100)+D14, 0),2)=0, ROUNDUP((E14-D14)*($F$50/100)+D14, 0), ROUNDUP((E14-D14)*($F$50/100)+D14, 0)-1)</f>
        <v>62</v>
      </c>
      <c r="G14" s="22">
        <f>IF(F14&lt;24,24,F14)</f>
        <v>62</v>
      </c>
      <c r="H14" s="17">
        <f t="shared" si="0"/>
        <v>164.10256410256412</v>
      </c>
      <c r="I14" s="48"/>
    </row>
    <row r="15" spans="1:9" x14ac:dyDescent="0.2">
      <c r="A15" s="30" t="s">
        <v>40</v>
      </c>
      <c r="B15" s="28">
        <f xml:space="preserve"> 60+4*B5</f>
        <v>70.256410256410263</v>
      </c>
      <c r="C15" s="21">
        <f>C21-$B$7</f>
        <v>115.76923076923077</v>
      </c>
      <c r="D15" s="18">
        <f>ROUNDUP(B15/$B$5, 0) - 2</f>
        <v>26</v>
      </c>
      <c r="E15" s="18">
        <f>ROUNDUP(C15/$B$5, 0) - 2</f>
        <v>44</v>
      </c>
      <c r="F15" s="18">
        <f>IF(MOD(ROUNDUP((E15-D15)*($F$51/100)+D15, 0),2)=0, ROUNDUP((E15-D15)*($F$51/100)+D15, 0), ROUNDUP((E15-D15)*($F$51/100)+D15, 0)-1)</f>
        <v>28</v>
      </c>
      <c r="G15" s="22">
        <f>IF(F15&lt;0, 0, F15)</f>
        <v>28</v>
      </c>
      <c r="H15" s="17">
        <f t="shared" si="0"/>
        <v>76.923076923076934</v>
      </c>
      <c r="I15" s="48"/>
    </row>
    <row r="16" spans="1:9" x14ac:dyDescent="0.2">
      <c r="A16" s="30" t="s">
        <v>41</v>
      </c>
      <c r="B16" s="28"/>
      <c r="C16" s="21"/>
      <c r="D16" s="18"/>
      <c r="E16" s="18"/>
      <c r="F16" s="18">
        <f>IF(MOD(ROUNDDOWN($B$6/$B$5, 0),2)=0, ROUNDDOWN($B$6/$B$5, 0)-2, ROUNDDOWN($B$6/$B$5,0))</f>
        <v>18</v>
      </c>
      <c r="G16" s="22">
        <f>IF(F16&lt;0, 0, F16)</f>
        <v>18</v>
      </c>
      <c r="H16" s="17">
        <f t="shared" si="0"/>
        <v>51.282051282051285</v>
      </c>
      <c r="I16" s="48"/>
    </row>
    <row r="17" spans="1:8" x14ac:dyDescent="0.2">
      <c r="A17" s="30" t="s">
        <v>42</v>
      </c>
      <c r="B17" s="28">
        <v>100</v>
      </c>
      <c r="C17" s="21"/>
      <c r="D17" s="18">
        <f>ROUNDUP(B17/$B$5, 0) - 2</f>
        <v>37</v>
      </c>
      <c r="E17" s="18">
        <v>255</v>
      </c>
      <c r="F17" s="18">
        <f>IF(MOD(ROUNDUP((E17-D17)*($F$50/100)+D17, 0),2)=0, ROUNDUP((E17-D17)*($F$50/100)+D17, 0), ROUNDUP((E17-D17)*($F$50/100)+D17, 0)-1)</f>
        <v>58</v>
      </c>
      <c r="G17" s="22">
        <f>IF(F17&lt;0, 0, F17)</f>
        <v>58</v>
      </c>
      <c r="H17" s="17">
        <f t="shared" si="0"/>
        <v>153.84615384615387</v>
      </c>
    </row>
    <row r="18" spans="1:8" x14ac:dyDescent="0.2">
      <c r="A18" s="30" t="s">
        <v>43</v>
      </c>
      <c r="B18" s="28">
        <f>4*B6</f>
        <v>208.33333333333334</v>
      </c>
      <c r="C18" s="21">
        <f>4*B6</f>
        <v>208.33333333333334</v>
      </c>
      <c r="D18" s="18"/>
      <c r="E18" s="18"/>
      <c r="F18" s="18">
        <f>B18</f>
        <v>208.33333333333334</v>
      </c>
      <c r="G18" s="22">
        <v>3</v>
      </c>
      <c r="H18" s="18">
        <f>(G18+1)*10^3/$B$4</f>
        <v>208.33333333333334</v>
      </c>
    </row>
    <row r="19" spans="1:8" x14ac:dyDescent="0.2">
      <c r="A19" s="30" t="s">
        <v>45</v>
      </c>
      <c r="B19" s="28">
        <f>B6</f>
        <v>52.083333333333336</v>
      </c>
      <c r="C19" s="21">
        <f>2*B6</f>
        <v>104.16666666666667</v>
      </c>
      <c r="D19" s="18"/>
      <c r="E19" s="18"/>
      <c r="F19" s="18">
        <f>B19</f>
        <v>52.083333333333336</v>
      </c>
      <c r="G19" s="22">
        <v>0</v>
      </c>
      <c r="H19" s="18">
        <f>(G19+2)*10^3/$B$4</f>
        <v>104.16666666666667</v>
      </c>
    </row>
    <row r="20" spans="1:8" x14ac:dyDescent="0.2">
      <c r="A20" s="30" t="s">
        <v>44</v>
      </c>
      <c r="B20" s="28">
        <f>5*B6</f>
        <v>260.41666666666669</v>
      </c>
      <c r="C20" s="21">
        <f>5*B6</f>
        <v>260.41666666666669</v>
      </c>
      <c r="D20" s="18"/>
      <c r="E20" s="18"/>
      <c r="F20" s="18">
        <f>B20</f>
        <v>260.41666666666669</v>
      </c>
      <c r="G20" s="22">
        <v>4</v>
      </c>
      <c r="H20" s="18">
        <f>(G20+1)*10^3/$B$4</f>
        <v>260.41666666666669</v>
      </c>
    </row>
    <row r="21" spans="1:8" x14ac:dyDescent="0.2">
      <c r="A21" s="30" t="s">
        <v>90</v>
      </c>
      <c r="B21" s="28"/>
      <c r="C21" s="21">
        <f>105+12*$B$5</f>
        <v>135.76923076923077</v>
      </c>
      <c r="D21" s="18"/>
      <c r="E21" s="18"/>
      <c r="F21" s="18"/>
      <c r="G21" s="23"/>
      <c r="H21" s="18">
        <f>H15+$B$7/2</f>
        <v>86.923076923076934</v>
      </c>
    </row>
    <row r="22" spans="1:8" x14ac:dyDescent="0.2">
      <c r="A22" s="30" t="s">
        <v>91</v>
      </c>
      <c r="B22" s="28"/>
      <c r="C22" s="21">
        <f>105+12*$B$5</f>
        <v>135.76923076923077</v>
      </c>
      <c r="D22" s="18"/>
      <c r="E22" s="18"/>
      <c r="F22" s="18"/>
      <c r="G22" s="23"/>
      <c r="H22" s="18">
        <f>H12 + $B$7/2</f>
        <v>76.666666666666671</v>
      </c>
    </row>
    <row r="23" spans="1:8" x14ac:dyDescent="0.2">
      <c r="A23" s="30" t="s">
        <v>47</v>
      </c>
      <c r="B23" s="28">
        <f>60+52*B5</f>
        <v>193.33333333333334</v>
      </c>
      <c r="C23" s="21"/>
      <c r="D23" s="18">
        <f>ROUNDUP((B23-24*B5-H17)/(8*B5), 0)-1</f>
        <v>-3</v>
      </c>
      <c r="E23" s="18">
        <v>63</v>
      </c>
      <c r="F23" s="18">
        <f>ROUNDUP((E23-D23)*($F$50/100)+D23, 0)</f>
        <v>4</v>
      </c>
      <c r="G23" s="22">
        <f>IF(F23&lt;0, 0, F23)</f>
        <v>4</v>
      </c>
      <c r="H23" s="18">
        <f>(G23+1)*8*B5+H17+24*B5</f>
        <v>317.94871794871801</v>
      </c>
    </row>
    <row r="24" spans="1:8" x14ac:dyDescent="0.2">
      <c r="A24" s="30" t="s">
        <v>48</v>
      </c>
      <c r="B24" s="28">
        <f>8*B5</f>
        <v>20.512820512820515</v>
      </c>
      <c r="C24" s="21"/>
      <c r="D24" s="18">
        <f>ROUNDUP((B24+$H$10+$H$11+$B$6)/(8*$B$5),0)-1</f>
        <v>20</v>
      </c>
      <c r="E24" s="18">
        <v>63</v>
      </c>
      <c r="F24" s="18">
        <f>IF(D24&gt;63, ROUNDUP((E24*2-D24)*($F$50/100)+D24, 0), ROUNDUP((E24-D24)*($F$50/100)+D24, 0))</f>
        <v>25</v>
      </c>
      <c r="G24" s="22">
        <f>IF(F24&lt;0, 0, IF(D24&gt;E24, ROUNDDOWN(F24/2, 0), F24))</f>
        <v>25</v>
      </c>
      <c r="H24" s="18">
        <f>IF(D24&gt;E24,(G24+1)*16*B5-B6-H10-H11,(G24+1)*8*B5-B6-H10-H11)</f>
        <v>127.40384615384619</v>
      </c>
    </row>
    <row r="25" spans="1:8" x14ac:dyDescent="0.2">
      <c r="A25" s="30" t="s">
        <v>131</v>
      </c>
      <c r="B25" s="3"/>
      <c r="C25" s="3"/>
      <c r="D25" s="5"/>
      <c r="H25" s="18">
        <f>SUM(H10:H17) + SUM(H23:H24)  +B6+8*B5</f>
        <v>1446.1538461538464</v>
      </c>
    </row>
    <row r="26" spans="1:8" x14ac:dyDescent="0.2">
      <c r="A26" s="30"/>
      <c r="B26" s="6"/>
      <c r="C26" s="6"/>
      <c r="D26" s="3"/>
      <c r="E26" s="3"/>
      <c r="F26" s="5"/>
      <c r="G26" s="4"/>
    </row>
    <row r="27" spans="1:8" ht="18" x14ac:dyDescent="0.25">
      <c r="A27" s="69" t="s">
        <v>79</v>
      </c>
    </row>
    <row r="28" spans="1:8" x14ac:dyDescent="0.2">
      <c r="A28" s="30" t="s">
        <v>153</v>
      </c>
      <c r="B28" s="31" t="s">
        <v>132</v>
      </c>
      <c r="C28" s="3"/>
    </row>
    <row r="29" spans="1:8" x14ac:dyDescent="0.2">
      <c r="A29" s="30" t="s">
        <v>140</v>
      </c>
      <c r="B29" s="26" t="str">
        <f>IF(F11&gt;255, DEC2HEX(G11 - 255), DEC2HEX(G11))</f>
        <v>76</v>
      </c>
      <c r="C29" s="13"/>
    </row>
    <row r="30" spans="1:8" x14ac:dyDescent="0.2">
      <c r="A30" s="30" t="s">
        <v>141</v>
      </c>
      <c r="B30" s="26" t="str">
        <f>DEC2HEX(G12)</f>
        <v>18</v>
      </c>
      <c r="C30" s="13"/>
    </row>
    <row r="31" spans="1:8" x14ac:dyDescent="0.2">
      <c r="A31" s="30" t="s">
        <v>142</v>
      </c>
      <c r="B31" s="26" t="str">
        <f>DEC2HEX(G10)</f>
        <v>10</v>
      </c>
      <c r="C31" s="13"/>
    </row>
    <row r="32" spans="1:8" x14ac:dyDescent="0.2">
      <c r="A32" s="30" t="s">
        <v>143</v>
      </c>
      <c r="B32" s="70">
        <f>IF(F11&gt;255, 1, 0)</f>
        <v>0</v>
      </c>
      <c r="C32" s="13"/>
    </row>
    <row r="33" spans="1:7" x14ac:dyDescent="0.2">
      <c r="A33" s="30" t="s">
        <v>144</v>
      </c>
      <c r="B33" s="26" t="str">
        <f>DEC2HEX(G17)</f>
        <v>3A</v>
      </c>
      <c r="C33" s="13"/>
    </row>
    <row r="34" spans="1:7" x14ac:dyDescent="0.2">
      <c r="A34" s="30" t="s">
        <v>145</v>
      </c>
      <c r="B34" s="26" t="str">
        <f>DEC2HEX(G14)</f>
        <v>3E</v>
      </c>
      <c r="C34" s="13"/>
      <c r="G34" s="14" t="s">
        <v>88</v>
      </c>
    </row>
    <row r="35" spans="1:7" x14ac:dyDescent="0.2">
      <c r="A35" s="30" t="s">
        <v>146</v>
      </c>
      <c r="B35" s="26" t="str">
        <f>DEC2HEX(G13)</f>
        <v>14</v>
      </c>
      <c r="C35" s="13"/>
    </row>
    <row r="36" spans="1:7" x14ac:dyDescent="0.2">
      <c r="A36" s="30" t="s">
        <v>147</v>
      </c>
      <c r="B36" s="26" t="str">
        <f>DEC2HEX(G15)</f>
        <v>1C</v>
      </c>
      <c r="C36" s="13"/>
    </row>
    <row r="37" spans="1:7" x14ac:dyDescent="0.2">
      <c r="A37" s="30" t="s">
        <v>148</v>
      </c>
      <c r="B37" s="26" t="str">
        <f>DEC2HEX(G16)</f>
        <v>12</v>
      </c>
      <c r="C37" s="13"/>
    </row>
    <row r="38" spans="1:7" x14ac:dyDescent="0.2">
      <c r="A38" s="30" t="s">
        <v>149</v>
      </c>
      <c r="B38" s="26" t="str">
        <f>DEC2HEX(G19*2^4+G18)</f>
        <v>3</v>
      </c>
      <c r="C38" s="13"/>
    </row>
    <row r="39" spans="1:7" x14ac:dyDescent="0.2">
      <c r="A39" s="30" t="s">
        <v>150</v>
      </c>
      <c r="B39" s="26" t="str">
        <f>DEC2HEX(G20)</f>
        <v>4</v>
      </c>
      <c r="C39" s="13"/>
    </row>
    <row r="40" spans="1:7" x14ac:dyDescent="0.2">
      <c r="A40" s="26"/>
      <c r="C40" s="13"/>
    </row>
    <row r="41" spans="1:7" ht="18" x14ac:dyDescent="0.25">
      <c r="A41" s="71" t="s">
        <v>81</v>
      </c>
      <c r="B41" s="26"/>
    </row>
    <row r="42" spans="1:7" x14ac:dyDescent="0.2">
      <c r="A42" s="30" t="s">
        <v>151</v>
      </c>
      <c r="B42" s="26" t="str">
        <f>DEC2HEX(G23*256+G24)</f>
        <v>419</v>
      </c>
      <c r="C42" s="13"/>
    </row>
    <row r="43" spans="1:7" x14ac:dyDescent="0.2">
      <c r="A43" s="30" t="s">
        <v>152</v>
      </c>
      <c r="B43" s="70">
        <f>IF(E24 &lt; D24, 1, 0)</f>
        <v>0</v>
      </c>
    </row>
    <row r="48" spans="1:7" x14ac:dyDescent="0.2">
      <c r="E48" s="15" t="s">
        <v>98</v>
      </c>
      <c r="F48" s="14">
        <v>10</v>
      </c>
    </row>
    <row r="49" spans="5:6" x14ac:dyDescent="0.2">
      <c r="E49" s="15" t="s">
        <v>99</v>
      </c>
      <c r="F49" s="14">
        <f>IF($B$3&gt;1200, 15, 10)</f>
        <v>10</v>
      </c>
    </row>
    <row r="50" spans="5:6" x14ac:dyDescent="0.2">
      <c r="E50" s="15" t="s">
        <v>93</v>
      </c>
      <c r="F50" s="14">
        <v>10</v>
      </c>
    </row>
    <row r="51" spans="5:6" x14ac:dyDescent="0.2">
      <c r="E51" s="15" t="s">
        <v>94</v>
      </c>
      <c r="F51" s="14">
        <f>IF($B$3&gt;180, 10, 40)</f>
        <v>10</v>
      </c>
    </row>
  </sheetData>
  <mergeCells count="3">
    <mergeCell ref="B8:C8"/>
    <mergeCell ref="D8:F8"/>
    <mergeCell ref="H8:H9"/>
  </mergeCells>
  <phoneticPr fontId="62"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75" right="0.75" top="0.5" bottom="0.5" header="0.3" footer="0.3"/>
  <pageSetup scale="50" fitToHeight="0" orientation="portrait" r:id="rId1"/>
  <headerFooter scaleWithDoc="0">
    <oddFooter xml:space="preserve">&amp;L&amp;8      80-NH713-1 V
&amp;C&amp;8 &amp;P
&amp;"Arial,Bold" MAY CONTAIN U.S. AND INTERNATIONAL EXPORT CONTROLLED INFORMATION&amp;R&amp;8 Confidential and Proprietary - Qualcomm Technologies, Inc.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70"/>
  <sheetViews>
    <sheetView view="pageBreakPreview" topLeftCell="A67" zoomScaleNormal="70" zoomScaleSheetLayoutView="100" workbookViewId="0">
      <selection activeCell="B94" sqref="B94"/>
    </sheetView>
  </sheetViews>
  <sheetFormatPr defaultRowHeight="12.75" x14ac:dyDescent="0.2"/>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 min="11" max="11" width="14.42578125" customWidth="1"/>
  </cols>
  <sheetData>
    <row r="1" spans="1:9" ht="18" x14ac:dyDescent="0.25">
      <c r="A1" s="8" t="s">
        <v>80</v>
      </c>
      <c r="B1" s="14"/>
      <c r="C1" s="14"/>
      <c r="D1" s="14"/>
      <c r="E1" s="14"/>
      <c r="F1" s="14"/>
      <c r="G1" s="14"/>
      <c r="H1" s="14"/>
    </row>
    <row r="2" spans="1:9" ht="18" x14ac:dyDescent="0.25">
      <c r="A2" s="12" t="s">
        <v>129</v>
      </c>
      <c r="B2" s="11"/>
      <c r="C2" s="14"/>
      <c r="D2" s="14"/>
      <c r="E2" s="14"/>
      <c r="F2" s="14"/>
      <c r="G2" s="16"/>
      <c r="H2" s="14"/>
    </row>
    <row r="3" spans="1:9" x14ac:dyDescent="0.2">
      <c r="A3" s="24" t="s">
        <v>96</v>
      </c>
      <c r="B3" s="67">
        <f>ROUNDDOWN('DSI and MDP registers'!C105, 0)</f>
        <v>390</v>
      </c>
      <c r="C3" s="14" t="s">
        <v>97</v>
      </c>
      <c r="D3" s="14"/>
      <c r="E3" s="14"/>
      <c r="F3" s="14"/>
      <c r="G3" s="14"/>
      <c r="H3" s="14"/>
    </row>
    <row r="4" spans="1:9" x14ac:dyDescent="0.2">
      <c r="A4" s="24" t="s">
        <v>33</v>
      </c>
      <c r="B4" s="68">
        <f>'DSI and MDP registers'!C21/'DSI and MDP registers'!C22</f>
        <v>19.2</v>
      </c>
      <c r="C4" s="14" t="s">
        <v>15</v>
      </c>
      <c r="D4" s="14"/>
      <c r="E4" s="14"/>
      <c r="F4" s="14"/>
      <c r="G4" s="14"/>
      <c r="H4" s="14"/>
    </row>
    <row r="5" spans="1:9" x14ac:dyDescent="0.2">
      <c r="A5" s="24" t="s">
        <v>36</v>
      </c>
      <c r="B5" s="25">
        <f>10^3/B3</f>
        <v>2.5641025641025643</v>
      </c>
      <c r="C5" s="14" t="s">
        <v>37</v>
      </c>
      <c r="D5" s="14"/>
      <c r="E5" s="14"/>
      <c r="F5" s="14"/>
      <c r="G5" s="14"/>
      <c r="H5" s="14"/>
    </row>
    <row r="6" spans="1:9" x14ac:dyDescent="0.2">
      <c r="A6" s="24" t="s">
        <v>46</v>
      </c>
      <c r="B6" s="18">
        <f>10^3/B4</f>
        <v>52.083333333333336</v>
      </c>
      <c r="C6" s="14" t="s">
        <v>37</v>
      </c>
      <c r="D6" s="14"/>
      <c r="E6" s="14"/>
      <c r="F6" s="14"/>
      <c r="G6" s="14"/>
      <c r="H6" s="14"/>
    </row>
    <row r="7" spans="1:9" x14ac:dyDescent="0.2">
      <c r="A7" s="24" t="s">
        <v>89</v>
      </c>
      <c r="B7" s="26">
        <v>20</v>
      </c>
      <c r="C7" s="14" t="s">
        <v>37</v>
      </c>
      <c r="D7" s="14"/>
      <c r="E7" s="14"/>
      <c r="F7" s="14"/>
      <c r="G7" s="14"/>
      <c r="H7" s="14"/>
    </row>
    <row r="8" spans="1:9" x14ac:dyDescent="0.2">
      <c r="A8" s="29"/>
      <c r="B8" s="171" t="s">
        <v>92</v>
      </c>
      <c r="C8" s="172"/>
      <c r="D8" s="173" t="s">
        <v>77</v>
      </c>
      <c r="E8" s="173"/>
      <c r="F8" s="173"/>
      <c r="G8" s="77" t="s">
        <v>130</v>
      </c>
      <c r="H8" s="174" t="s">
        <v>186</v>
      </c>
    </row>
    <row r="9" spans="1:9" x14ac:dyDescent="0.2">
      <c r="A9" s="30"/>
      <c r="B9" s="27" t="s">
        <v>50</v>
      </c>
      <c r="C9" s="19" t="s">
        <v>51</v>
      </c>
      <c r="D9" s="76" t="s">
        <v>63</v>
      </c>
      <c r="E9" s="76" t="s">
        <v>64</v>
      </c>
      <c r="F9" s="20"/>
      <c r="G9" s="77" t="s">
        <v>49</v>
      </c>
      <c r="H9" s="175"/>
    </row>
    <row r="10" spans="1:9" x14ac:dyDescent="0.2">
      <c r="A10" s="30" t="s">
        <v>32</v>
      </c>
      <c r="B10" s="28">
        <v>38</v>
      </c>
      <c r="C10" s="21">
        <v>95</v>
      </c>
      <c r="D10" s="18">
        <f>MAX(ROUNDUP((B10/$B$5-$F$11*4-$F$28*2)/8, 0),0)</f>
        <v>2</v>
      </c>
      <c r="E10" s="18">
        <f>MAX(ROUNDDOWN((C10/$B$5-$F$11*4-$F$28*2)/8, 0),0)</f>
        <v>4</v>
      </c>
      <c r="F10" s="18">
        <f>ROUNDUP((E10-D10)*($F$63/100)+D10, 0)</f>
        <v>3</v>
      </c>
      <c r="G10" s="22">
        <f t="shared" ref="G10:G16" si="0">IF(F10&lt;0, 0, F10)</f>
        <v>3</v>
      </c>
      <c r="H10" s="17">
        <f>(G10*8 +G11*4+G28*2)*$B$5</f>
        <v>61.538461538461547</v>
      </c>
      <c r="I10" s="14" t="str">
        <f>IF(OR(H10&lt;B10, H10&gt;C10), "fail", "")</f>
        <v/>
      </c>
    </row>
    <row r="11" spans="1:9" s="14" customFormat="1" ht="38.25" x14ac:dyDescent="0.2">
      <c r="A11" s="84" t="s">
        <v>181</v>
      </c>
      <c r="B11" s="28"/>
      <c r="C11" s="21"/>
      <c r="D11" s="18"/>
      <c r="E11" s="18"/>
      <c r="F11" s="18">
        <v>0</v>
      </c>
      <c r="G11" s="22">
        <f t="shared" si="0"/>
        <v>0</v>
      </c>
      <c r="H11" s="17"/>
    </row>
    <row r="12" spans="1:9" x14ac:dyDescent="0.2">
      <c r="A12" s="30" t="s">
        <v>34</v>
      </c>
      <c r="B12" s="28">
        <f>300-H10</f>
        <v>238.46153846153845</v>
      </c>
      <c r="C12" s="21"/>
      <c r="D12" s="18">
        <f>ROUNDUP((B12/$B$5-11)/8, 0) - 3</f>
        <v>8</v>
      </c>
      <c r="E12" s="18">
        <f>IF(D12&gt; 255, 511, 255)</f>
        <v>255</v>
      </c>
      <c r="F12" s="18">
        <f>ROUNDUP((E12-D12)*($F$68/100)+D12, 0)</f>
        <v>13</v>
      </c>
      <c r="G12" s="22">
        <f t="shared" si="0"/>
        <v>13</v>
      </c>
      <c r="H12" s="17">
        <f>((G12+3)*8+11-G28*2)*$B$5</f>
        <v>356.41025641025647</v>
      </c>
      <c r="I12" s="14" t="str">
        <f t="shared" ref="I12:I15" si="1">IF(H12&lt;B12, "fail", "")</f>
        <v/>
      </c>
    </row>
    <row r="13" spans="1:9" x14ac:dyDescent="0.2">
      <c r="A13" s="30" t="s">
        <v>35</v>
      </c>
      <c r="B13" s="28">
        <v>60</v>
      </c>
      <c r="C13" s="21">
        <f>C24-$B$7</f>
        <v>115.76923076923077</v>
      </c>
      <c r="D13" s="18">
        <f>ROUNDUP((B13/$B$5+3)/8, 0)</f>
        <v>4</v>
      </c>
      <c r="E13" s="18">
        <f>ROUNDDOWN((C13/$B$5+3)/8, 0)</f>
        <v>6</v>
      </c>
      <c r="F13" s="18">
        <f>ROUNDUP((E13-D13)*($F$66/100)+D13, 0)</f>
        <v>5</v>
      </c>
      <c r="G13" s="22">
        <f t="shared" si="0"/>
        <v>5</v>
      </c>
      <c r="H13" s="17">
        <f>(G13*8-3)*$B$5</f>
        <v>94.871794871794876</v>
      </c>
      <c r="I13" s="14" t="str">
        <f t="shared" ref="I13:I14" si="2">IF(OR(H13&lt;B13, H13&gt;C13), "fail", "")</f>
        <v/>
      </c>
    </row>
    <row r="14" spans="1:9" x14ac:dyDescent="0.2">
      <c r="A14" s="30" t="s">
        <v>38</v>
      </c>
      <c r="B14" s="28">
        <f>40+4*B5</f>
        <v>50.256410256410255</v>
      </c>
      <c r="C14" s="21">
        <f>85+6*B5</f>
        <v>100.38461538461539</v>
      </c>
      <c r="D14" s="18">
        <f>MAX(ROUNDUP((B14/$B$5-$F$18*4-$F$29*2)/8, 0),0)</f>
        <v>3</v>
      </c>
      <c r="E14" s="18">
        <f>MAX(ROUNDDOWN((C14/$B$5-$F$18*4-$F$29*2)/8, 0),0)</f>
        <v>4</v>
      </c>
      <c r="F14" s="18">
        <f>ROUNDUP((E14-D14)*($F$64/100)+D14, 0)</f>
        <v>4</v>
      </c>
      <c r="G14" s="22">
        <f t="shared" si="0"/>
        <v>4</v>
      </c>
      <c r="H14" s="17">
        <f>(G14*8+G18*4+G29*2)*$B$5</f>
        <v>82.051282051282058</v>
      </c>
      <c r="I14" s="14" t="str">
        <f t="shared" si="2"/>
        <v/>
      </c>
    </row>
    <row r="15" spans="1:9" x14ac:dyDescent="0.2">
      <c r="A15" s="30" t="s">
        <v>39</v>
      </c>
      <c r="B15" s="28">
        <f>145+10*B5-H14</f>
        <v>88.589743589743577</v>
      </c>
      <c r="C15" s="21"/>
      <c r="D15" s="18">
        <f>ROUNDUP((B15/$B$5 - 11)/8, 0) - 3</f>
        <v>0</v>
      </c>
      <c r="E15" s="18">
        <v>255</v>
      </c>
      <c r="F15" s="18">
        <f>ROUNDUP((E15-D15)*($F$67/100)+D15, 0)</f>
        <v>26</v>
      </c>
      <c r="G15" s="22">
        <f t="shared" si="0"/>
        <v>26</v>
      </c>
      <c r="H15" s="17">
        <f>((G15+3)*8+11-2*G29)*$B$5</f>
        <v>623.07692307692309</v>
      </c>
      <c r="I15" s="14" t="str">
        <f t="shared" si="1"/>
        <v/>
      </c>
    </row>
    <row r="16" spans="1:9" x14ac:dyDescent="0.2">
      <c r="A16" s="30" t="s">
        <v>40</v>
      </c>
      <c r="B16" s="28">
        <f xml:space="preserve"> 60+4*B5</f>
        <v>70.256410256410263</v>
      </c>
      <c r="C16" s="21">
        <f>C23-$B$7</f>
        <v>115.76923076923077</v>
      </c>
      <c r="D16" s="18">
        <f>ROUNDUP((B16/$B$5+3)/8, 0)</f>
        <v>4</v>
      </c>
      <c r="E16" s="18">
        <f>ROUNDDOWN((C16/$B$5+3)/8, 0)</f>
        <v>6</v>
      </c>
      <c r="F16" s="18">
        <f>ROUNDUP((E16-D16)*($F$66/100)+D16, 0)</f>
        <v>5</v>
      </c>
      <c r="G16" s="22">
        <f t="shared" si="0"/>
        <v>5</v>
      </c>
      <c r="H16" s="17">
        <f>(G16*8-3)*$B$5</f>
        <v>94.871794871794876</v>
      </c>
      <c r="I16" s="14" t="str">
        <f>IF(OR(H16&lt;B16, H16&gt;C16), "fail", "")</f>
        <v/>
      </c>
    </row>
    <row r="17" spans="1:9" x14ac:dyDescent="0.2">
      <c r="A17" s="30" t="s">
        <v>170</v>
      </c>
      <c r="B17" s="28">
        <v>50</v>
      </c>
      <c r="C17" s="21"/>
      <c r="D17" s="18"/>
      <c r="E17" s="18"/>
      <c r="F17" s="18">
        <f>MAX(ROUNDUP((B17/B5+4*F18-8)/8, 0), 0)</f>
        <v>2</v>
      </c>
      <c r="G17" s="22">
        <f>IF(F17&lt;0, 0, F17)</f>
        <v>2</v>
      </c>
      <c r="H17" s="17">
        <f>IF(G18=0, (G17+1)*$B$5*8, (G17+0.5)*$B$5*8)</f>
        <v>61.538461538461547</v>
      </c>
      <c r="I17" t="str">
        <f>IF(H17&lt;B17, "fail", "")</f>
        <v/>
      </c>
    </row>
    <row r="18" spans="1:9" s="14" customFormat="1" ht="38.25" x14ac:dyDescent="0.2">
      <c r="A18" s="84" t="s">
        <v>188</v>
      </c>
      <c r="B18" s="28"/>
      <c r="C18" s="21"/>
      <c r="D18" s="18"/>
      <c r="E18" s="18"/>
      <c r="F18" s="18">
        <v>0</v>
      </c>
      <c r="G18" s="22">
        <f>IF(F18&lt;0, 0, F18)</f>
        <v>0</v>
      </c>
      <c r="H18" s="17"/>
    </row>
    <row r="19" spans="1:9" x14ac:dyDescent="0.2">
      <c r="A19" s="30" t="s">
        <v>42</v>
      </c>
      <c r="B19" s="28">
        <v>100</v>
      </c>
      <c r="C19" s="21"/>
      <c r="D19" s="18">
        <f t="shared" ref="D19" si="3">ROUNDUP(B19/$B$5/8, 0) - 1</f>
        <v>4</v>
      </c>
      <c r="E19" s="18">
        <v>255</v>
      </c>
      <c r="F19" s="18">
        <f>ROUNDUP((E19-D19)*($F$65/100)+D19, 0)</f>
        <v>30</v>
      </c>
      <c r="G19" s="22">
        <f>IF(F19&lt;0, 0, F19)</f>
        <v>30</v>
      </c>
      <c r="H19" s="17">
        <f t="shared" ref="H19" si="4">(G19+1)*$B$5*8</f>
        <v>635.89743589743591</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135.76923076923077</v>
      </c>
      <c r="D23" s="18"/>
      <c r="E23" s="18"/>
      <c r="F23" s="18"/>
      <c r="G23" s="23"/>
      <c r="H23" s="18">
        <f>H16+$B$7/2</f>
        <v>104.87179487179488</v>
      </c>
    </row>
    <row r="24" spans="1:9" x14ac:dyDescent="0.2">
      <c r="A24" s="30" t="s">
        <v>91</v>
      </c>
      <c r="B24" s="28"/>
      <c r="C24" s="21">
        <f>105+12*$B$5</f>
        <v>135.76923076923077</v>
      </c>
      <c r="D24" s="18"/>
      <c r="E24" s="18"/>
      <c r="F24" s="18"/>
      <c r="G24" s="23"/>
      <c r="H24" s="18">
        <f>H13 + $B$7/2</f>
        <v>104.87179487179488</v>
      </c>
      <c r="I24" s="14"/>
    </row>
    <row r="25" spans="1:9" x14ac:dyDescent="0.2">
      <c r="A25" s="30" t="s">
        <v>47</v>
      </c>
      <c r="B25" s="28">
        <f>60+52*B5</f>
        <v>193.33333333333334</v>
      </c>
      <c r="C25" s="21"/>
      <c r="D25" s="18">
        <f>ROUNDUP((B25-43*B5)/(8*B5), 0)-1</f>
        <v>4</v>
      </c>
      <c r="E25" s="18">
        <v>63</v>
      </c>
      <c r="F25" s="18">
        <f>ROUNDUP((E25-D25)*($F$65/100)+D25, 0)</f>
        <v>10</v>
      </c>
      <c r="G25" s="22">
        <f>IF(F25&lt;0, 0, F25)</f>
        <v>10</v>
      </c>
      <c r="H25" s="18">
        <f>(G25+1)*8*B5+72*B5+H19</f>
        <v>1046.1538461538462</v>
      </c>
    </row>
    <row r="26" spans="1:9" x14ac:dyDescent="0.2">
      <c r="A26" s="30" t="s">
        <v>48</v>
      </c>
      <c r="B26" s="28">
        <f>8*B5</f>
        <v>20.512820512820515</v>
      </c>
      <c r="C26" s="21"/>
      <c r="D26" s="18">
        <f>ROUNDUP((B26+$H$10+$H$12+H27)/(8*$B$5),0)-1</f>
        <v>24</v>
      </c>
      <c r="E26" s="18">
        <v>63</v>
      </c>
      <c r="F26" s="18">
        <f>IF(D26&gt;63, ROUNDUP((E26*2-D26)*($F$65/100)+D26, 0), ROUNDUP((E26-D26)*($F$65/100)+D26, 0))</f>
        <v>28</v>
      </c>
      <c r="G26" s="22">
        <f>IF(F26&lt;0, 0, IF(D26&gt;E26, ROUNDDOWN(F26/2, 0), F26))</f>
        <v>28</v>
      </c>
      <c r="H26" s="18">
        <f>IF(D26&gt;E26,(G26+1)*16*B5-H27-H10-H12,(G26+1)*8*B5-H27-H10-H12)</f>
        <v>115.38461538461536</v>
      </c>
    </row>
    <row r="27" spans="1:9" s="14" customFormat="1" x14ac:dyDescent="0.2">
      <c r="A27" s="30" t="s">
        <v>182</v>
      </c>
      <c r="B27" s="28">
        <v>50</v>
      </c>
      <c r="C27" s="21"/>
      <c r="D27" s="18"/>
      <c r="E27" s="18"/>
      <c r="F27" s="18">
        <f>MAX(ROUNDUP((B27/$B$5+4*$F$11-8)/8, 0), 0)</f>
        <v>2</v>
      </c>
      <c r="G27" s="22">
        <f>IF(F27&lt;0, 0, F27)</f>
        <v>2</v>
      </c>
      <c r="H27" s="17">
        <f>IF(G11=0, (G27+1)*$B$5*8, (G27+0.5)*$B$5*8)</f>
        <v>61.538461538461547</v>
      </c>
      <c r="I27" s="14" t="str">
        <f>IF(H27&lt;B27, "fail", "")</f>
        <v/>
      </c>
    </row>
    <row r="28" spans="1:9" s="14" customFormat="1" ht="25.5" x14ac:dyDescent="0.2">
      <c r="A28" s="81" t="s">
        <v>183</v>
      </c>
      <c r="B28" s="85"/>
      <c r="C28" s="85"/>
      <c r="D28" s="86"/>
      <c r="E28" s="86"/>
      <c r="F28" s="18">
        <f>IF(B3&gt;100, 0, 3)</f>
        <v>0</v>
      </c>
      <c r="G28" s="22">
        <f t="shared" ref="G28" si="5">IF(F28&lt;0, 0, F28)</f>
        <v>0</v>
      </c>
      <c r="H28" s="17"/>
    </row>
    <row r="29" spans="1:9" s="14" customFormat="1" ht="25.5" x14ac:dyDescent="0.2">
      <c r="A29" s="81" t="s">
        <v>187</v>
      </c>
      <c r="B29" s="85"/>
      <c r="C29" s="85"/>
      <c r="D29" s="86"/>
      <c r="E29" s="86"/>
      <c r="F29" s="18">
        <f>IF(B3&gt;120, 0, 1)</f>
        <v>0</v>
      </c>
      <c r="G29" s="22">
        <f t="shared" ref="G29" si="6">IF(F29&lt;0, 0, F29)</f>
        <v>0</v>
      </c>
      <c r="H29" s="17"/>
    </row>
    <row r="30" spans="1:9" x14ac:dyDescent="0.2">
      <c r="A30" s="30" t="s">
        <v>131</v>
      </c>
      <c r="B30" s="3"/>
      <c r="C30" s="3"/>
      <c r="D30" s="5"/>
      <c r="E30" s="14"/>
      <c r="F30" s="14"/>
      <c r="G30" s="14"/>
      <c r="H30" s="18">
        <f>SUM(H10:H17) +  H19+SUM(H25:H27)  +B6+8*B5</f>
        <v>3305.9294871794873</v>
      </c>
    </row>
    <row r="31" spans="1:9" x14ac:dyDescent="0.2">
      <c r="A31" s="129"/>
      <c r="B31" s="3"/>
      <c r="C31" s="3"/>
      <c r="D31" s="5"/>
      <c r="E31" s="14"/>
      <c r="F31" s="14"/>
      <c r="G31" s="14"/>
      <c r="H31" s="86"/>
    </row>
    <row r="32" spans="1:9" ht="15.75" x14ac:dyDescent="0.25">
      <c r="A32" s="130" t="s">
        <v>271</v>
      </c>
      <c r="B32" s="176" t="s">
        <v>262</v>
      </c>
      <c r="C32" s="172"/>
      <c r="D32" s="173" t="s">
        <v>77</v>
      </c>
      <c r="E32" s="173"/>
      <c r="F32" s="173"/>
      <c r="G32" s="77" t="s">
        <v>130</v>
      </c>
      <c r="H32" s="177" t="s">
        <v>186</v>
      </c>
    </row>
    <row r="33" spans="1:9" x14ac:dyDescent="0.2">
      <c r="A33" s="30"/>
      <c r="B33" s="27" t="s">
        <v>50</v>
      </c>
      <c r="C33" s="19" t="s">
        <v>51</v>
      </c>
      <c r="D33" s="124" t="s">
        <v>63</v>
      </c>
      <c r="E33" s="124" t="s">
        <v>64</v>
      </c>
      <c r="F33" s="20"/>
      <c r="G33" s="77"/>
      <c r="H33" s="178"/>
    </row>
    <row r="34" spans="1:9" x14ac:dyDescent="0.2">
      <c r="A34" s="30" t="s">
        <v>260</v>
      </c>
      <c r="B34" s="31">
        <f>IF(B3&gt;1500, B5*(2^15), 0)</f>
        <v>0</v>
      </c>
      <c r="C34" s="31">
        <f>IF(B3&gt;1500, 100*1000, 0)</f>
        <v>0</v>
      </c>
      <c r="D34" s="128">
        <f>IF(B3&gt;1500, ROUNDUP((B34+500)/(8*$B$5),0), 0)</f>
        <v>0</v>
      </c>
      <c r="E34" s="128">
        <f>IF(B3&gt;1500, ROUNDUP((C34+500)/(8*$B$5),0), 0)</f>
        <v>0</v>
      </c>
      <c r="F34" s="26">
        <f>ROUNDUP((E34-D34)*($F$69/100)+D34, 0)</f>
        <v>0</v>
      </c>
      <c r="G34" s="26">
        <f>IF(F34&lt;0, 0, F34)</f>
        <v>0</v>
      </c>
      <c r="H34" s="18">
        <f>IF(G34&gt;0, G34*8*B5-1000, 0)</f>
        <v>0</v>
      </c>
      <c r="I34" s="14" t="str">
        <f>IF(OR(H34&lt;B34, H34&gt;C34), "fail", "")</f>
        <v/>
      </c>
    </row>
    <row r="35" spans="1:9" x14ac:dyDescent="0.2">
      <c r="A35" s="30" t="s">
        <v>261</v>
      </c>
      <c r="B35" s="31">
        <f>IF(B3&gt;1500, B5*(2^12), 0)</f>
        <v>0</v>
      </c>
      <c r="C35" s="31">
        <f>IF(B3&gt;1500,
         MIN(10,
                   IF(AND('DSI and MDP registers'!C113&lt;5, 'DSI and MDP registers'!C30=1),
                        'DSI and MDP registers'!C113-2*((H14+H15+H16+H17+H19)/1000),
                        'DSI and MDP registers'!C113-2*(H30/1000)
                       )
                   )*1000,
          0)</f>
        <v>0</v>
      </c>
      <c r="D35" s="128">
        <f>IF(B3&gt;1500,
        ROUNDUP((B35+H14+H15+H17)/(8*$B$5),0),
      0)</f>
        <v>0</v>
      </c>
      <c r="E35" s="128">
        <f>IF(B3&gt;1500,
        ROUNDUP((C35+H14+H15+H17)/(8*$B$5),0),
      0)</f>
        <v>0</v>
      </c>
      <c r="F35" s="26">
        <f>ROUNDUP((E35-D35)*($F$70/100)+D35, 0)</f>
        <v>0</v>
      </c>
      <c r="G35" s="26">
        <f>IF(F35&lt;0, 0, F35)</f>
        <v>0</v>
      </c>
      <c r="H35" s="18">
        <f>IF(G35&gt;0, G35*8*B5-H15-H14-H17, 0)</f>
        <v>0</v>
      </c>
      <c r="I35" s="14" t="str">
        <f>IF(OR(H35&lt;B35,
             H35&gt;C35,
             IF(AND('DSI and MDP registers'!C113&lt;5, 'DSI and MDP registers'!C30=1),
                 (H35+2*(H14+H15+H16+H17+H19)&gt;'DSI and MDP registers'!C113*1000),
                 (H35+2*H30&gt;'DSI and MDP registers'!C113*1000)
                )
             ),
        "fail",
        ""
      )</f>
        <v/>
      </c>
    </row>
    <row r="36" spans="1:9" x14ac:dyDescent="0.2">
      <c r="A36" s="30"/>
      <c r="B36" s="6"/>
      <c r="C36" s="6"/>
      <c r="D36" s="3"/>
      <c r="E36" s="3"/>
      <c r="F36" s="5"/>
      <c r="G36" s="4"/>
      <c r="H36" s="14"/>
    </row>
    <row r="37" spans="1:9" ht="18" x14ac:dyDescent="0.25">
      <c r="A37" s="69" t="s">
        <v>179</v>
      </c>
      <c r="B37" s="14"/>
      <c r="C37" s="14"/>
      <c r="D37" s="14"/>
      <c r="E37" s="14"/>
      <c r="F37" s="14"/>
      <c r="G37" s="14"/>
      <c r="H37" s="14"/>
    </row>
    <row r="38" spans="1:9" x14ac:dyDescent="0.2">
      <c r="A38" s="30" t="s">
        <v>178</v>
      </c>
      <c r="B38" s="31" t="s">
        <v>132</v>
      </c>
      <c r="C38" s="3"/>
      <c r="D38" s="14"/>
      <c r="E38" s="14"/>
      <c r="F38" s="14"/>
      <c r="G38" s="14"/>
      <c r="H38" s="14"/>
    </row>
    <row r="39" spans="1:9" x14ac:dyDescent="0.2">
      <c r="A39" s="30" t="s">
        <v>157</v>
      </c>
      <c r="B39" s="26" t="str">
        <f>DEC2HEX(G19)</f>
        <v>1E</v>
      </c>
      <c r="C39" s="13" t="s">
        <v>168</v>
      </c>
      <c r="D39" s="14"/>
      <c r="E39" s="14"/>
      <c r="F39" s="14"/>
      <c r="G39" s="14"/>
      <c r="H39" s="14"/>
    </row>
    <row r="40" spans="1:9" x14ac:dyDescent="0.2">
      <c r="A40" s="30" t="s">
        <v>158</v>
      </c>
      <c r="B40" s="26" t="str">
        <f>DEC2HEX(G12)</f>
        <v>D</v>
      </c>
      <c r="C40" s="13" t="s">
        <v>34</v>
      </c>
      <c r="D40" s="14"/>
      <c r="E40" s="14"/>
      <c r="F40" s="14"/>
      <c r="G40" s="14"/>
      <c r="H40" s="14"/>
    </row>
    <row r="41" spans="1:9" x14ac:dyDescent="0.2">
      <c r="A41" s="30" t="s">
        <v>159</v>
      </c>
      <c r="B41" s="26" t="str">
        <f>DEC2HEX(G10)</f>
        <v>3</v>
      </c>
      <c r="C41" s="13" t="s">
        <v>169</v>
      </c>
      <c r="D41" s="14"/>
      <c r="E41" s="14"/>
      <c r="F41" s="14"/>
      <c r="G41" s="14"/>
      <c r="H41" s="14"/>
    </row>
    <row r="42" spans="1:9" s="14" customFormat="1" x14ac:dyDescent="0.2">
      <c r="A42" s="30" t="s">
        <v>160</v>
      </c>
      <c r="B42" s="26" t="str">
        <f>DEC2HEX(G13)</f>
        <v>5</v>
      </c>
      <c r="C42" s="13" t="s">
        <v>35</v>
      </c>
    </row>
    <row r="43" spans="1:9" s="14" customFormat="1" x14ac:dyDescent="0.2">
      <c r="A43" s="30" t="s">
        <v>161</v>
      </c>
      <c r="B43" s="26" t="str">
        <f>DEC2HEX(G27)</f>
        <v>2</v>
      </c>
      <c r="C43" s="13" t="s">
        <v>167</v>
      </c>
      <c r="G43" s="14" t="s">
        <v>88</v>
      </c>
    </row>
    <row r="44" spans="1:9" x14ac:dyDescent="0.2">
      <c r="A44" s="30" t="s">
        <v>162</v>
      </c>
      <c r="B44" s="26" t="str">
        <f>DEC2HEX(G19)</f>
        <v>1E</v>
      </c>
      <c r="C44" s="13" t="s">
        <v>42</v>
      </c>
      <c r="D44" s="14"/>
      <c r="E44" s="14"/>
      <c r="F44" s="14"/>
      <c r="G44" s="14"/>
      <c r="H44" s="14"/>
    </row>
    <row r="45" spans="1:9" x14ac:dyDescent="0.2">
      <c r="A45" s="30" t="s">
        <v>163</v>
      </c>
      <c r="B45" s="26" t="str">
        <f>DEC2HEX(G15)</f>
        <v>1A</v>
      </c>
      <c r="C45" s="13" t="s">
        <v>39</v>
      </c>
      <c r="D45" s="14"/>
      <c r="E45" s="14"/>
      <c r="F45" s="14"/>
      <c r="G45" s="14"/>
      <c r="H45" s="14"/>
    </row>
    <row r="46" spans="1:9" x14ac:dyDescent="0.2">
      <c r="A46" s="30" t="s">
        <v>164</v>
      </c>
      <c r="B46" s="26" t="str">
        <f>DEC2HEX(G14)</f>
        <v>4</v>
      </c>
      <c r="C46" s="13" t="s">
        <v>38</v>
      </c>
      <c r="D46" s="14"/>
      <c r="E46" s="14"/>
      <c r="F46" s="14"/>
      <c r="G46" s="14"/>
      <c r="H46" s="14"/>
    </row>
    <row r="47" spans="1:9" x14ac:dyDescent="0.2">
      <c r="A47" s="30" t="s">
        <v>165</v>
      </c>
      <c r="B47" s="26" t="str">
        <f>DEC2HEX(G16)</f>
        <v>5</v>
      </c>
      <c r="C47" s="13" t="s">
        <v>40</v>
      </c>
      <c r="D47" s="14"/>
      <c r="E47" s="14"/>
      <c r="F47" s="14"/>
      <c r="G47" s="14"/>
      <c r="H47" s="14"/>
    </row>
    <row r="48" spans="1:9" s="14" customFormat="1" x14ac:dyDescent="0.2">
      <c r="A48" s="30" t="s">
        <v>166</v>
      </c>
      <c r="B48" s="26" t="str">
        <f>DEC2HEX(G17)</f>
        <v>2</v>
      </c>
      <c r="C48" s="13" t="s">
        <v>170</v>
      </c>
    </row>
    <row r="49" spans="1:8" s="14" customFormat="1" x14ac:dyDescent="0.2">
      <c r="A49" s="30" t="s">
        <v>171</v>
      </c>
      <c r="B49" s="26" t="str">
        <f>DEC2HEX(G21*2^4+G20)</f>
        <v>2</v>
      </c>
      <c r="C49" s="13"/>
    </row>
    <row r="50" spans="1:8" s="14" customFormat="1" x14ac:dyDescent="0.2">
      <c r="A50" s="30" t="s">
        <v>172</v>
      </c>
      <c r="B50" s="26" t="str">
        <f>DEC2HEX(G22)</f>
        <v>4</v>
      </c>
      <c r="C50" s="13"/>
    </row>
    <row r="51" spans="1:8" ht="25.5" x14ac:dyDescent="0.2">
      <c r="A51" s="81" t="s">
        <v>180</v>
      </c>
      <c r="B51" s="26" t="str">
        <f>DEC2HEX(G11)</f>
        <v>0</v>
      </c>
      <c r="C51" s="13" t="s">
        <v>169</v>
      </c>
      <c r="D51" s="14"/>
      <c r="E51" s="14"/>
      <c r="F51" s="14"/>
      <c r="G51" s="14"/>
      <c r="H51" s="14"/>
    </row>
    <row r="52" spans="1:8" ht="25.5" x14ac:dyDescent="0.2">
      <c r="A52" s="87" t="str">
        <f>A28</f>
        <v>DSIPHY_CKLN_CFG0.DSIPHY_HSTX_PREPARE_DLY</v>
      </c>
      <c r="B52" s="26">
        <f>G28</f>
        <v>0</v>
      </c>
      <c r="C52" s="13" t="s">
        <v>169</v>
      </c>
      <c r="D52" s="14"/>
      <c r="E52" s="14"/>
      <c r="F52" s="14"/>
      <c r="G52" s="14"/>
      <c r="H52" s="14"/>
    </row>
    <row r="53" spans="1:8" ht="25.5" x14ac:dyDescent="0.2">
      <c r="A53" s="81" t="s">
        <v>173</v>
      </c>
      <c r="B53" s="26" t="str">
        <f>DEC2HEX(G18)</f>
        <v>0</v>
      </c>
      <c r="C53" s="13" t="s">
        <v>174</v>
      </c>
      <c r="D53" s="14"/>
      <c r="E53" s="14"/>
      <c r="F53" s="14"/>
      <c r="G53" s="14"/>
      <c r="H53" s="14"/>
    </row>
    <row r="54" spans="1:8" ht="25.5" x14ac:dyDescent="0.2">
      <c r="A54" s="87" t="str">
        <f>A29</f>
        <v>DSIPHY_DLN[0123]_CFG0.DSIPHY_HSTX_PREPARE_DLY</v>
      </c>
      <c r="B54" s="26">
        <f>G29</f>
        <v>0</v>
      </c>
      <c r="C54" s="13" t="s">
        <v>190</v>
      </c>
      <c r="D54" s="14"/>
      <c r="E54" s="14"/>
      <c r="F54" s="14"/>
      <c r="G54" s="14"/>
      <c r="H54" s="14"/>
    </row>
    <row r="55" spans="1:8" x14ac:dyDescent="0.2">
      <c r="A55" s="87"/>
      <c r="B55" s="26"/>
      <c r="C55" s="13"/>
      <c r="D55" s="14"/>
      <c r="E55" s="14"/>
      <c r="F55" s="14"/>
      <c r="G55" s="14"/>
      <c r="H55" s="14"/>
    </row>
    <row r="56" spans="1:8" ht="18" x14ac:dyDescent="0.25">
      <c r="A56" s="71" t="s">
        <v>81</v>
      </c>
      <c r="B56" s="26"/>
      <c r="C56" s="14"/>
      <c r="D56" s="14"/>
      <c r="E56" s="14"/>
      <c r="F56" s="14"/>
      <c r="G56" s="14"/>
      <c r="H56" s="14"/>
    </row>
    <row r="57" spans="1:8" x14ac:dyDescent="0.2">
      <c r="A57" s="30" t="s">
        <v>151</v>
      </c>
      <c r="B57" s="26" t="str">
        <f>DEC2HEX(G25*256+G26)</f>
        <v>A1C</v>
      </c>
      <c r="C57" s="13"/>
      <c r="D57" s="14"/>
      <c r="E57" s="14"/>
      <c r="F57" s="14"/>
      <c r="G57" s="14"/>
      <c r="H57" s="14"/>
    </row>
    <row r="58" spans="1:8" x14ac:dyDescent="0.2">
      <c r="A58" s="30" t="s">
        <v>152</v>
      </c>
      <c r="B58" s="70">
        <f>IF(E26 &lt; D26, 1, 0)</f>
        <v>0</v>
      </c>
      <c r="C58" s="14"/>
      <c r="D58" s="14"/>
      <c r="E58" s="14"/>
      <c r="F58" s="14"/>
      <c r="G58" s="14"/>
      <c r="H58" s="14"/>
    </row>
    <row r="59" spans="1:8" s="14" customFormat="1" ht="25.5" x14ac:dyDescent="0.2">
      <c r="A59" s="81" t="s">
        <v>265</v>
      </c>
      <c r="B59" s="26" t="str">
        <f>DEC2HEX(G34*2^16+500/8/B5)</f>
        <v>18</v>
      </c>
    </row>
    <row r="60" spans="1:8" ht="25.5" x14ac:dyDescent="0.2">
      <c r="A60" s="81" t="s">
        <v>266</v>
      </c>
      <c r="B60" s="26">
        <f>IF('DSI and MDP registers'!C29=1,
        IF('DSI and MDP registers'!C113&gt;5,
             DEC2HEX(G35*2^16+1000/8/B5),
             DEC2HEX(G35*2^16)
            ),
         0)</f>
        <v>0</v>
      </c>
      <c r="C60" s="14"/>
      <c r="D60" s="14"/>
      <c r="E60" s="14"/>
      <c r="F60" s="14"/>
      <c r="G60" s="14"/>
      <c r="H60" s="14"/>
    </row>
    <row r="61" spans="1:8" ht="38.25" x14ac:dyDescent="0.2">
      <c r="A61" s="81" t="s">
        <v>267</v>
      </c>
      <c r="B61" s="26">
        <f>IF(AND('DSI and MDP registers'!C29, 'DSI and MDP registers'!C30, 'DSI and MDP registers'!C113&lt;5), 1, 0)</f>
        <v>0</v>
      </c>
      <c r="C61" s="14"/>
      <c r="D61" s="14"/>
      <c r="E61" s="14"/>
      <c r="F61" s="14"/>
      <c r="G61" s="14"/>
      <c r="H61" s="14"/>
    </row>
    <row r="62" spans="1:8" x14ac:dyDescent="0.2">
      <c r="A62" s="14"/>
      <c r="B62" s="14"/>
      <c r="C62" s="14"/>
      <c r="D62" s="14"/>
      <c r="E62" s="14"/>
      <c r="F62" s="14"/>
      <c r="G62" s="14"/>
      <c r="H62" s="14"/>
    </row>
    <row r="63" spans="1:8" x14ac:dyDescent="0.2">
      <c r="A63" s="14"/>
      <c r="B63" s="14"/>
      <c r="C63" s="14"/>
      <c r="D63" s="14"/>
      <c r="E63" s="15" t="s">
        <v>98</v>
      </c>
      <c r="F63" s="14">
        <v>50</v>
      </c>
      <c r="G63" s="14"/>
      <c r="H63" s="14"/>
    </row>
    <row r="64" spans="1:8" x14ac:dyDescent="0.2">
      <c r="A64" s="14"/>
      <c r="B64" s="14"/>
      <c r="C64" s="14"/>
      <c r="D64" s="14"/>
      <c r="E64" s="15" t="s">
        <v>99</v>
      </c>
      <c r="F64" s="14">
        <v>50</v>
      </c>
      <c r="G64" s="14"/>
      <c r="H64" s="14"/>
    </row>
    <row r="65" spans="1:8" x14ac:dyDescent="0.2">
      <c r="A65" s="14"/>
      <c r="B65" s="14"/>
      <c r="C65" s="14"/>
      <c r="D65" s="14"/>
      <c r="E65" s="15" t="s">
        <v>93</v>
      </c>
      <c r="F65" s="14">
        <v>10</v>
      </c>
      <c r="G65" s="14"/>
      <c r="H65" s="14"/>
    </row>
    <row r="66" spans="1:8" x14ac:dyDescent="0.2">
      <c r="A66" s="14"/>
      <c r="B66" s="14"/>
      <c r="C66" s="14"/>
      <c r="D66" s="14"/>
      <c r="E66" s="15" t="s">
        <v>94</v>
      </c>
      <c r="F66" s="14">
        <v>30</v>
      </c>
      <c r="G66" s="14"/>
      <c r="H66" s="14"/>
    </row>
    <row r="67" spans="1:8" x14ac:dyDescent="0.2">
      <c r="E67" s="15" t="s">
        <v>189</v>
      </c>
      <c r="F67" s="14">
        <v>10</v>
      </c>
    </row>
    <row r="68" spans="1:8" x14ac:dyDescent="0.2">
      <c r="E68" s="15" t="s">
        <v>206</v>
      </c>
      <c r="F68" s="14">
        <v>2</v>
      </c>
    </row>
    <row r="69" spans="1:8" x14ac:dyDescent="0.2">
      <c r="E69" s="15" t="s">
        <v>263</v>
      </c>
      <c r="F69" s="14">
        <v>5</v>
      </c>
    </row>
    <row r="70" spans="1:8" x14ac:dyDescent="0.2">
      <c r="E70" s="15" t="s">
        <v>264</v>
      </c>
      <c r="F70" s="14">
        <v>5</v>
      </c>
    </row>
  </sheetData>
  <mergeCells count="6">
    <mergeCell ref="B32:C32"/>
    <mergeCell ref="D32:F32"/>
    <mergeCell ref="H32:H33"/>
    <mergeCell ref="B8:C8"/>
    <mergeCell ref="D8:F8"/>
    <mergeCell ref="H8:H9"/>
  </mergeCells>
  <phoneticPr fontId="62" type="noConversion"/>
  <pageMargins left="0.75" right="0.75" top="0.5" bottom="0.5" header="0.3" footer="0.3"/>
  <pageSetup scale="50" fitToHeight="0" orientation="portrait" r:id="rId1"/>
  <headerFooter scaleWithDoc="0">
    <oddFooter xml:space="preserve">&amp;L&amp;8      80-NH713-1 V&amp;C&amp;8 &amp;P
&amp;"Arial,Bold" MAY CONTAIN U.S. AND INTERNATIONAL EXPORT CONTROLLED INFORMATION&amp;R&amp;8 Confidential and Proprietary - Qualcomm Technologies, Inc.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5"/>
  <sheetViews>
    <sheetView view="pageBreakPreview" topLeftCell="A88" zoomScaleNormal="85" zoomScaleSheetLayoutView="100" workbookViewId="0">
      <selection activeCell="A101" sqref="A101"/>
    </sheetView>
  </sheetViews>
  <sheetFormatPr defaultColWidth="9.140625" defaultRowHeight="12.75" x14ac:dyDescent="0.2"/>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9" width="9.140625" style="14"/>
    <col min="10" max="10" width="16.28515625" style="14" customWidth="1"/>
    <col min="11" max="16384" width="9.140625" style="14"/>
  </cols>
  <sheetData>
    <row r="1" spans="1:9" ht="18" x14ac:dyDescent="0.25">
      <c r="A1" s="8" t="s">
        <v>80</v>
      </c>
    </row>
    <row r="2" spans="1:9" ht="18" x14ac:dyDescent="0.25">
      <c r="A2" s="12" t="s">
        <v>129</v>
      </c>
      <c r="B2" s="11"/>
      <c r="G2" s="16"/>
    </row>
    <row r="3" spans="1:9" x14ac:dyDescent="0.2">
      <c r="A3" s="24" t="s">
        <v>96</v>
      </c>
      <c r="B3" s="67">
        <f>ROUNDDOWN('DSI and MDP registers'!C105, 0)</f>
        <v>390</v>
      </c>
      <c r="C3" s="14" t="s">
        <v>15</v>
      </c>
    </row>
    <row r="4" spans="1:9" x14ac:dyDescent="0.2">
      <c r="A4" s="24" t="s">
        <v>33</v>
      </c>
      <c r="B4" s="68">
        <f>'DSI and MDP registers'!C21/'DSI and MDP registers'!C22</f>
        <v>19.2</v>
      </c>
      <c r="C4" s="14" t="s">
        <v>15</v>
      </c>
    </row>
    <row r="5" spans="1:9" x14ac:dyDescent="0.2">
      <c r="A5" s="24" t="s">
        <v>36</v>
      </c>
      <c r="B5" s="25">
        <f>10^3/B3</f>
        <v>2.5641025641025643</v>
      </c>
      <c r="C5" s="14" t="s">
        <v>37</v>
      </c>
    </row>
    <row r="6" spans="1:9" x14ac:dyDescent="0.2">
      <c r="A6" s="24" t="s">
        <v>46</v>
      </c>
      <c r="B6" s="18">
        <f>10^3/B4</f>
        <v>52.083333333333336</v>
      </c>
      <c r="C6" s="14" t="s">
        <v>37</v>
      </c>
    </row>
    <row r="7" spans="1:9" x14ac:dyDescent="0.2">
      <c r="A7" s="24" t="s">
        <v>89</v>
      </c>
      <c r="B7" s="26">
        <v>20</v>
      </c>
      <c r="C7" s="14" t="s">
        <v>37</v>
      </c>
    </row>
    <row r="8" spans="1:9" x14ac:dyDescent="0.2">
      <c r="A8" s="29"/>
      <c r="B8" s="171" t="s">
        <v>92</v>
      </c>
      <c r="C8" s="172"/>
      <c r="D8" s="173" t="s">
        <v>77</v>
      </c>
      <c r="E8" s="173"/>
      <c r="F8" s="173"/>
      <c r="G8" s="77" t="s">
        <v>130</v>
      </c>
      <c r="H8" s="174" t="s">
        <v>186</v>
      </c>
    </row>
    <row r="9" spans="1:9" x14ac:dyDescent="0.2">
      <c r="A9" s="30"/>
      <c r="B9" s="27" t="s">
        <v>50</v>
      </c>
      <c r="C9" s="19" t="s">
        <v>51</v>
      </c>
      <c r="D9" s="119" t="s">
        <v>63</v>
      </c>
      <c r="E9" s="119" t="s">
        <v>64</v>
      </c>
      <c r="F9" s="20"/>
      <c r="G9" s="77" t="s">
        <v>49</v>
      </c>
      <c r="H9" s="175"/>
    </row>
    <row r="10" spans="1:9" x14ac:dyDescent="0.2">
      <c r="A10" s="30" t="s">
        <v>32</v>
      </c>
      <c r="B10" s="28">
        <v>38</v>
      </c>
      <c r="C10" s="21">
        <v>95</v>
      </c>
      <c r="D10" s="18">
        <f>MAX(ROUNDUP((B10/$B$5-$F$11*4)/8, 0),0)</f>
        <v>2</v>
      </c>
      <c r="E10" s="18">
        <f>MAX(ROUNDDOWN((C10/$B$5-$F$11*4)/8, 0),0)</f>
        <v>4</v>
      </c>
      <c r="F10" s="18">
        <f>ROUNDUP((E10-D10)*($F$56/100)+D10, 0)</f>
        <v>3</v>
      </c>
      <c r="G10" s="22">
        <f t="shared" ref="G10:G16" si="0">IF(F10&lt;0, 0, F10)</f>
        <v>3</v>
      </c>
      <c r="H10" s="17">
        <f>(G10*8 +G11*4)*$B$5</f>
        <v>61.538461538461547</v>
      </c>
      <c r="I10" s="14" t="str">
        <f>IF(OR(H10&lt;B10, H10&gt;C10), "fail", "")</f>
        <v/>
      </c>
    </row>
    <row r="11" spans="1:9" ht="25.5" x14ac:dyDescent="0.2">
      <c r="A11" s="84" t="s">
        <v>217</v>
      </c>
      <c r="B11" s="28"/>
      <c r="C11" s="21"/>
      <c r="D11" s="18"/>
      <c r="E11" s="18"/>
      <c r="F11" s="18">
        <v>0</v>
      </c>
      <c r="G11" s="22">
        <f t="shared" si="0"/>
        <v>0</v>
      </c>
      <c r="H11" s="17"/>
    </row>
    <row r="12" spans="1:9" x14ac:dyDescent="0.2">
      <c r="A12" s="30" t="s">
        <v>34</v>
      </c>
      <c r="B12" s="28">
        <f>300-H10</f>
        <v>238.46153846153845</v>
      </c>
      <c r="C12" s="21"/>
      <c r="D12" s="18">
        <f>ROUNDUP((B12/$B$5)/8, 0) - 1</f>
        <v>11</v>
      </c>
      <c r="E12" s="18">
        <f>IF(D12&gt; 255, 511, 255)</f>
        <v>255</v>
      </c>
      <c r="F12" s="18">
        <f>ROUNDUP((E12-D12)*($F$63/100)+D12, 0)</f>
        <v>16</v>
      </c>
      <c r="G12" s="22">
        <f t="shared" si="0"/>
        <v>16</v>
      </c>
      <c r="H12" s="17">
        <f>((G12+1)*8)*$B$5</f>
        <v>348.71794871794873</v>
      </c>
      <c r="I12" s="14">
        <f>H10+H12</f>
        <v>410.25641025641028</v>
      </c>
    </row>
    <row r="13" spans="1:9" x14ac:dyDescent="0.2">
      <c r="A13" s="30" t="s">
        <v>35</v>
      </c>
      <c r="B13" s="28">
        <v>60</v>
      </c>
      <c r="C13" s="21">
        <f>C24-$B$7</f>
        <v>115.76923076923077</v>
      </c>
      <c r="D13" s="18">
        <f>ROUNDUP((B13/$B$5)/8, 0)-1</f>
        <v>2</v>
      </c>
      <c r="E13" s="18">
        <f>ROUNDDOWN((C13/$B$5)/8, 0)-1</f>
        <v>4</v>
      </c>
      <c r="F13" s="18">
        <f>ROUNDUP((E13-D13)*($F$59/100)+D13, 0)</f>
        <v>3</v>
      </c>
      <c r="G13" s="22">
        <f t="shared" si="0"/>
        <v>3</v>
      </c>
      <c r="H13" s="17">
        <f>((G13+1)*8)*$B$5</f>
        <v>82.051282051282058</v>
      </c>
      <c r="I13" s="14" t="str">
        <f t="shared" ref="I13:I14" si="1">IF(OR(H13&lt;B13, H13&gt;C13), "fail", "")</f>
        <v/>
      </c>
    </row>
    <row r="14" spans="1:9" x14ac:dyDescent="0.2">
      <c r="A14" s="30" t="s">
        <v>38</v>
      </c>
      <c r="B14" s="28">
        <f>40+4*B5</f>
        <v>50.256410256410255</v>
      </c>
      <c r="C14" s="21">
        <f>85+6*B5</f>
        <v>100.38461538461539</v>
      </c>
      <c r="D14" s="18">
        <f>MAX(ROUNDUP((B14/$B$5-$F$18*4)/8, 0),0)</f>
        <v>3</v>
      </c>
      <c r="E14" s="18">
        <f>MAX(ROUNDDOWN((C14/$B$5-$F$18*4)/8, 0),0)</f>
        <v>4</v>
      </c>
      <c r="F14" s="18">
        <f>ROUNDUP((E14-D14)*($F$57/100)+D14, 0)</f>
        <v>4</v>
      </c>
      <c r="G14" s="22">
        <f t="shared" si="0"/>
        <v>4</v>
      </c>
      <c r="H14" s="17">
        <f>(G14*8+G18*4)*$B$5</f>
        <v>82.051282051282058</v>
      </c>
      <c r="I14" s="14" t="str">
        <f t="shared" si="1"/>
        <v/>
      </c>
    </row>
    <row r="15" spans="1:9" x14ac:dyDescent="0.2">
      <c r="A15" s="30" t="s">
        <v>39</v>
      </c>
      <c r="B15" s="28">
        <f>145+10*B5-H14</f>
        <v>88.589743589743577</v>
      </c>
      <c r="C15" s="21"/>
      <c r="D15" s="18">
        <f>ROUNDUP((B15/$B$5 )/8, 0) - 1</f>
        <v>4</v>
      </c>
      <c r="E15" s="18">
        <v>255</v>
      </c>
      <c r="F15" s="18">
        <f>ROUNDUP((E15-D15)*($F$60/100)+D15, 0)</f>
        <v>30</v>
      </c>
      <c r="G15" s="22">
        <f t="shared" si="0"/>
        <v>30</v>
      </c>
      <c r="H15" s="17">
        <f>((G15+1)*8)*$B$5</f>
        <v>635.89743589743591</v>
      </c>
      <c r="I15" s="14">
        <f>H14+H15</f>
        <v>717.94871794871801</v>
      </c>
    </row>
    <row r="16" spans="1:9" x14ac:dyDescent="0.2">
      <c r="A16" s="30" t="s">
        <v>40</v>
      </c>
      <c r="B16" s="28">
        <f xml:space="preserve"> 60+4*B5</f>
        <v>70.256410256410263</v>
      </c>
      <c r="C16" s="21">
        <f>C23-$B$7</f>
        <v>115.76923076923077</v>
      </c>
      <c r="D16" s="18">
        <f>ROUNDUP((B16/$B$5)/8, 0)-1</f>
        <v>3</v>
      </c>
      <c r="E16" s="18">
        <f>ROUNDDOWN((C16/$B$5)/8, 0)-1</f>
        <v>4</v>
      </c>
      <c r="F16" s="18">
        <f>ROUNDUP((E16-D16)*($F$59/100)+D16, 0)</f>
        <v>4</v>
      </c>
      <c r="G16" s="22">
        <f t="shared" si="0"/>
        <v>4</v>
      </c>
      <c r="H16" s="17">
        <f>((G16+1)*8)*$B$5</f>
        <v>102.56410256410257</v>
      </c>
      <c r="I16" s="14" t="str">
        <f>IF(OR(H16&lt;B16, H16&gt;C16), "fail", "")</f>
        <v/>
      </c>
    </row>
    <row r="17" spans="1:9" x14ac:dyDescent="0.2">
      <c r="A17" s="30" t="s">
        <v>170</v>
      </c>
      <c r="B17" s="28">
        <v>50</v>
      </c>
      <c r="C17" s="21"/>
      <c r="D17" s="18"/>
      <c r="E17" s="18"/>
      <c r="F17" s="18">
        <f>MAX(ROUNDUP((B17/B5+4*F18-8)/8, 0), 0)</f>
        <v>2</v>
      </c>
      <c r="G17" s="22">
        <f>IF(F17&lt;0, 0, F17)</f>
        <v>2</v>
      </c>
      <c r="H17" s="17">
        <f xml:space="preserve"> ((G17+1)*8 - (G18*4))*$B$5</f>
        <v>61.538461538461547</v>
      </c>
      <c r="I17" s="14" t="str">
        <f>IF(H17&lt;B17, "fail", "")</f>
        <v/>
      </c>
    </row>
    <row r="18" spans="1:9" ht="25.5" x14ac:dyDescent="0.2">
      <c r="A18" s="84" t="s">
        <v>218</v>
      </c>
      <c r="B18" s="28"/>
      <c r="C18" s="21"/>
      <c r="D18" s="18"/>
      <c r="E18" s="18"/>
      <c r="F18" s="18">
        <f>F11</f>
        <v>0</v>
      </c>
      <c r="G18" s="22">
        <f>IF(F18&lt;0, 0, F18)</f>
        <v>0</v>
      </c>
      <c r="H18" s="17"/>
    </row>
    <row r="19" spans="1:9" x14ac:dyDescent="0.2">
      <c r="A19" s="30" t="s">
        <v>42</v>
      </c>
      <c r="B19" s="28">
        <v>100</v>
      </c>
      <c r="C19" s="21"/>
      <c r="D19" s="18">
        <f t="shared" ref="D19" si="2">ROUNDUP(B19/$B$5/8, 0) - 1</f>
        <v>4</v>
      </c>
      <c r="E19" s="18">
        <v>255</v>
      </c>
      <c r="F19" s="18">
        <f>ROUNDUP((E19-D19)*($F$58/100)+D19, 0)</f>
        <v>30</v>
      </c>
      <c r="G19" s="22">
        <f>IF(F19&lt;0, 0, F19)</f>
        <v>30</v>
      </c>
      <c r="H19" s="17">
        <f t="shared" ref="H19" si="3">(G19+1)*$B$5*8</f>
        <v>635.89743589743591</v>
      </c>
      <c r="I19" s="14" t="str">
        <f>IF(H19&lt;B19, "fail", "")</f>
        <v/>
      </c>
    </row>
    <row r="20" spans="1:9" x14ac:dyDescent="0.2">
      <c r="A20" s="30" t="s">
        <v>43</v>
      </c>
      <c r="B20" s="28">
        <f>4*B6</f>
        <v>208.33333333333334</v>
      </c>
      <c r="C20" s="21">
        <f>4*B6</f>
        <v>208.33333333333334</v>
      </c>
      <c r="D20" s="18"/>
      <c r="E20" s="18"/>
      <c r="F20" s="18">
        <f>B20</f>
        <v>208.33333333333334</v>
      </c>
      <c r="G20" s="22">
        <v>2</v>
      </c>
      <c r="H20" s="18">
        <f>(G20+2)*10^3/$B$4</f>
        <v>208.33333333333334</v>
      </c>
    </row>
    <row r="21" spans="1:9" x14ac:dyDescent="0.2">
      <c r="A21" s="30" t="s">
        <v>45</v>
      </c>
      <c r="B21" s="28">
        <f>B6</f>
        <v>52.083333333333336</v>
      </c>
      <c r="C21" s="21">
        <f>2*B6</f>
        <v>104.16666666666667</v>
      </c>
      <c r="D21" s="18"/>
      <c r="E21" s="18"/>
      <c r="F21" s="18">
        <f>B21</f>
        <v>52.083333333333336</v>
      </c>
      <c r="G21" s="22">
        <v>0</v>
      </c>
      <c r="H21" s="18">
        <f>(G21+2)*10^3/$B$4</f>
        <v>104.16666666666667</v>
      </c>
    </row>
    <row r="22" spans="1:9" x14ac:dyDescent="0.2">
      <c r="A22" s="30" t="s">
        <v>44</v>
      </c>
      <c r="B22" s="28">
        <f>5*B6</f>
        <v>260.41666666666669</v>
      </c>
      <c r="C22" s="21">
        <f>5*B6</f>
        <v>260.41666666666669</v>
      </c>
      <c r="D22" s="18"/>
      <c r="E22" s="18"/>
      <c r="F22" s="18">
        <f>B22</f>
        <v>260.41666666666669</v>
      </c>
      <c r="G22" s="22">
        <v>4</v>
      </c>
      <c r="H22" s="18">
        <f>(G22+1)*10^3/$B$4</f>
        <v>260.41666666666669</v>
      </c>
    </row>
    <row r="23" spans="1:9" x14ac:dyDescent="0.2">
      <c r="A23" s="30" t="s">
        <v>90</v>
      </c>
      <c r="B23" s="28"/>
      <c r="C23" s="21">
        <f>105+12*$B$5</f>
        <v>135.76923076923077</v>
      </c>
      <c r="D23" s="18"/>
      <c r="E23" s="18"/>
      <c r="F23" s="18"/>
      <c r="G23" s="23"/>
      <c r="H23" s="18">
        <f>H16+$B$7/2</f>
        <v>112.56410256410257</v>
      </c>
    </row>
    <row r="24" spans="1:9" x14ac:dyDescent="0.2">
      <c r="A24" s="30" t="s">
        <v>91</v>
      </c>
      <c r="B24" s="28"/>
      <c r="C24" s="21">
        <f>105+12*$B$5</f>
        <v>135.76923076923077</v>
      </c>
      <c r="D24" s="18"/>
      <c r="E24" s="18"/>
      <c r="F24" s="18"/>
      <c r="G24" s="23"/>
      <c r="H24" s="18">
        <f>H13 + $B$7/2</f>
        <v>92.051282051282058</v>
      </c>
    </row>
    <row r="25" spans="1:9" x14ac:dyDescent="0.2">
      <c r="A25" s="30" t="s">
        <v>47</v>
      </c>
      <c r="B25" s="28">
        <f>60+52*B5</f>
        <v>193.33333333333334</v>
      </c>
      <c r="C25" s="21"/>
      <c r="D25" s="18">
        <f>ROUNDUP((B25-43*B5)/(8*B5), 0)-1</f>
        <v>4</v>
      </c>
      <c r="E25" s="18">
        <v>63</v>
      </c>
      <c r="F25" s="18">
        <f>ROUNDUP((E25-D25)*($F$62/100)+D25, 0)</f>
        <v>10</v>
      </c>
      <c r="G25" s="22">
        <f>IF(F25&lt;0, 0, F25)</f>
        <v>10</v>
      </c>
      <c r="H25" s="18">
        <f>(G25+1)*8*B5+72*B5+H19</f>
        <v>1046.1538461538462</v>
      </c>
    </row>
    <row r="26" spans="1:9" x14ac:dyDescent="0.2">
      <c r="A26" s="30" t="s">
        <v>48</v>
      </c>
      <c r="B26" s="28">
        <f>8*B5</f>
        <v>20.512820512820515</v>
      </c>
      <c r="C26" s="21"/>
      <c r="D26" s="18">
        <f>ROUNDUP((B26+$H$10+$H$12+H27)/(8*$B$5),0)-1</f>
        <v>23</v>
      </c>
      <c r="E26" s="18">
        <v>63</v>
      </c>
      <c r="F26" s="18">
        <f>IF(D26&gt;63, ROUNDUP((E26*2-D26)*($F$61/100)+D26, 0), ROUNDUP((E26-D26)*($F$61/100)+D26, 0))</f>
        <v>27</v>
      </c>
      <c r="G26" s="22">
        <f>IF(F26&lt;0, 0, IF(D26&gt;E26, ROUNDDOWN(F26/2, 0), F26))</f>
        <v>27</v>
      </c>
      <c r="H26" s="18">
        <f>IF(D26&gt;E26,(G26+1)*16*B5-H27-H10-H12,(G26+1)*8*B5-H27-H10-H12)</f>
        <v>102.56410256410254</v>
      </c>
    </row>
    <row r="27" spans="1:9" x14ac:dyDescent="0.2">
      <c r="A27" s="30" t="s">
        <v>182</v>
      </c>
      <c r="B27" s="28">
        <v>50</v>
      </c>
      <c r="C27" s="21"/>
      <c r="D27" s="18"/>
      <c r="E27" s="18"/>
      <c r="F27" s="18">
        <f>MAX(ROUNDUP((B27/$B$5+4*$F$11-8)/8, 0), 0)</f>
        <v>2</v>
      </c>
      <c r="G27" s="22">
        <f>IF(F27&lt;0, 0, F27)</f>
        <v>2</v>
      </c>
      <c r="H27" s="17">
        <f>IF(G11=0, (G27+1)*$B$5*8, (G27+0.5)*$B$5*8)</f>
        <v>61.538461538461547</v>
      </c>
      <c r="I27" s="14" t="str">
        <f>IF(H27&lt;B27, "fail", "")</f>
        <v/>
      </c>
    </row>
    <row r="28" spans="1:9" x14ac:dyDescent="0.2">
      <c r="A28" s="30" t="s">
        <v>131</v>
      </c>
      <c r="B28" s="3"/>
      <c r="C28" s="3"/>
      <c r="D28" s="5"/>
      <c r="H28" s="18">
        <f>SUM(H10:H17) +  H19+SUM(H25:H27)  +B6+8*B5</f>
        <v>3293.1089743589741</v>
      </c>
    </row>
    <row r="29" spans="1:9" x14ac:dyDescent="0.2">
      <c r="A29" s="129"/>
      <c r="B29" s="3"/>
      <c r="C29" s="3"/>
      <c r="D29" s="5"/>
      <c r="H29" s="86"/>
    </row>
    <row r="30" spans="1:9" ht="15.75" x14ac:dyDescent="0.25">
      <c r="A30" s="130" t="s">
        <v>271</v>
      </c>
      <c r="B30" s="176" t="s">
        <v>262</v>
      </c>
      <c r="C30" s="172"/>
      <c r="D30" s="173" t="s">
        <v>77</v>
      </c>
      <c r="E30" s="173"/>
      <c r="F30" s="173"/>
      <c r="G30" s="77" t="s">
        <v>130</v>
      </c>
      <c r="H30" s="177" t="s">
        <v>186</v>
      </c>
    </row>
    <row r="31" spans="1:9" x14ac:dyDescent="0.2">
      <c r="A31" s="30"/>
      <c r="B31" s="27" t="s">
        <v>50</v>
      </c>
      <c r="C31" s="19" t="s">
        <v>51</v>
      </c>
      <c r="D31" s="124" t="s">
        <v>63</v>
      </c>
      <c r="E31" s="124" t="s">
        <v>64</v>
      </c>
      <c r="F31" s="20"/>
      <c r="G31" s="77"/>
      <c r="H31" s="178"/>
    </row>
    <row r="32" spans="1:9" x14ac:dyDescent="0.2">
      <c r="A32" s="30" t="s">
        <v>260</v>
      </c>
      <c r="B32" s="31">
        <f>IF(B3&gt;1500, B5*(2^15), 0)</f>
        <v>0</v>
      </c>
      <c r="C32" s="31">
        <f>IF(B3&gt;1500, 100*1000, 0)</f>
        <v>0</v>
      </c>
      <c r="D32" s="128">
        <f>IF(B3&gt;1500, ROUNDUP((B32+500)/(8*$B$5),0), 0)</f>
        <v>0</v>
      </c>
      <c r="E32" s="128">
        <f>IF(B3&gt;1500, ROUNDUP((C32+500)/(8*$B$5),0), 0)</f>
        <v>0</v>
      </c>
      <c r="F32" s="26">
        <f>ROUNDUP((E32-D32)*($F$64/100)+D32, 0)</f>
        <v>0</v>
      </c>
      <c r="G32" s="26">
        <f>IF(F32&lt;0, 0, F32)</f>
        <v>0</v>
      </c>
      <c r="H32" s="18">
        <f>IF(G32&gt;0, G32*8*B5-1000, 0)</f>
        <v>0</v>
      </c>
      <c r="I32" s="14" t="str">
        <f>IF(OR(H32&lt;B32, H32&gt;C32), "fail", "")</f>
        <v/>
      </c>
    </row>
    <row r="33" spans="1:9" x14ac:dyDescent="0.2">
      <c r="A33" s="30" t="s">
        <v>261</v>
      </c>
      <c r="B33" s="31">
        <f>IF(B3&gt;1500, B5*(2^12), 0)</f>
        <v>0</v>
      </c>
      <c r="C33" s="31">
        <f>IF(B3&gt;1500,
         MIN(10,
                   IF(AND('DSI and MDP registers'!C113&lt;5, 'DSI and MDP registers'!C30=1),
                        'DSI and MDP registers'!C113-2*((H14+H15+H16+H17+H19)/1000),
                        'DSI and MDP registers'!C113-2*(H28/1000)
                       )
                   )*1000,
          0)</f>
        <v>0</v>
      </c>
      <c r="D33" s="128">
        <f>IF(B3&gt;1500,
        ROUNDUP((B33+I15+H17)/(8*$B$5),0),
      0)</f>
        <v>0</v>
      </c>
      <c r="E33" s="128">
        <f>IF(B3&gt;1500,
        ROUNDDOWN((C33+I15+H17)/(8*$B$5),0),
      0)</f>
        <v>0</v>
      </c>
      <c r="F33" s="26">
        <f>ROUNDUP((E33-D33)*($F$65/100)+D33, 0)</f>
        <v>0</v>
      </c>
      <c r="G33" s="26">
        <f>IF(F33&lt;0, 0, F33)</f>
        <v>0</v>
      </c>
      <c r="H33" s="18">
        <f>IF(G33&gt;0, G33*8*B5-I15-H17, 0)</f>
        <v>0</v>
      </c>
      <c r="I33" s="14" t="str">
        <f>IF(OR(H33&lt;B33,
             H33&gt;C33,
             IF(AND('DSI and MDP registers'!C113&lt;5, 'DSI and MDP registers'!C30=1),
                 (H33+2*(H14+H15+H16+H17+H19)&gt;'DSI and MDP registers'!C113*1000),
                 (H33+2*H28&gt;'DSI and MDP registers'!C113*1000)
                )
             ),
        "fail",
        ""
      )</f>
        <v/>
      </c>
    </row>
    <row r="34" spans="1:9" x14ac:dyDescent="0.2">
      <c r="A34" s="30"/>
      <c r="B34" s="6"/>
      <c r="C34" s="6"/>
    </row>
    <row r="35" spans="1:9" ht="18" x14ac:dyDescent="0.25">
      <c r="A35" s="69" t="s">
        <v>219</v>
      </c>
    </row>
    <row r="36" spans="1:9" x14ac:dyDescent="0.2">
      <c r="A36" s="30" t="s">
        <v>220</v>
      </c>
      <c r="B36" s="31" t="s">
        <v>132</v>
      </c>
      <c r="C36" s="3"/>
    </row>
    <row r="37" spans="1:9" x14ac:dyDescent="0.2">
      <c r="A37" s="30" t="s">
        <v>221</v>
      </c>
      <c r="B37" s="26" t="str">
        <f>DEC2HEX(G11)</f>
        <v>0</v>
      </c>
      <c r="C37" s="13" t="s">
        <v>222</v>
      </c>
    </row>
    <row r="38" spans="1:9" x14ac:dyDescent="0.2">
      <c r="A38" s="30" t="s">
        <v>223</v>
      </c>
      <c r="B38" s="26" t="str">
        <f>DEC2HEX(G12)</f>
        <v>10</v>
      </c>
      <c r="C38" s="13" t="s">
        <v>34</v>
      </c>
    </row>
    <row r="39" spans="1:9" x14ac:dyDescent="0.2">
      <c r="A39" s="30" t="s">
        <v>224</v>
      </c>
      <c r="B39" s="26" t="str">
        <f>DEC2HEX(G10)</f>
        <v>3</v>
      </c>
      <c r="C39" s="13" t="s">
        <v>32</v>
      </c>
    </row>
    <row r="40" spans="1:9" x14ac:dyDescent="0.2">
      <c r="A40" s="30" t="s">
        <v>225</v>
      </c>
      <c r="B40" s="26" t="str">
        <f>DEC2HEX(G13)</f>
        <v>3</v>
      </c>
      <c r="C40" s="13" t="s">
        <v>35</v>
      </c>
    </row>
    <row r="41" spans="1:9" x14ac:dyDescent="0.2">
      <c r="A41" s="30" t="s">
        <v>226</v>
      </c>
      <c r="B41" s="26" t="str">
        <f>DEC2HEX(G19)</f>
        <v>1E</v>
      </c>
      <c r="C41" s="13" t="s">
        <v>42</v>
      </c>
    </row>
    <row r="42" spans="1:9" x14ac:dyDescent="0.2">
      <c r="A42" s="30" t="s">
        <v>227</v>
      </c>
      <c r="B42" s="26" t="str">
        <f>DEC2HEX(G15)</f>
        <v>1E</v>
      </c>
      <c r="C42" s="13" t="s">
        <v>39</v>
      </c>
    </row>
    <row r="43" spans="1:9" x14ac:dyDescent="0.2">
      <c r="A43" s="30" t="s">
        <v>228</v>
      </c>
      <c r="B43" s="26" t="str">
        <f>DEC2HEX(G14)</f>
        <v>4</v>
      </c>
      <c r="C43" s="13" t="s">
        <v>38</v>
      </c>
    </row>
    <row r="44" spans="1:9" x14ac:dyDescent="0.2">
      <c r="A44" s="30" t="s">
        <v>229</v>
      </c>
      <c r="B44" s="26" t="str">
        <f>DEC2HEX(G16)</f>
        <v>4</v>
      </c>
      <c r="C44" s="13" t="s">
        <v>40</v>
      </c>
    </row>
    <row r="45" spans="1:9" x14ac:dyDescent="0.2">
      <c r="A45" s="30" t="s">
        <v>230</v>
      </c>
      <c r="B45" s="26" t="str">
        <f>DEC2HEX(G27)</f>
        <v>2</v>
      </c>
      <c r="C45" s="13" t="s">
        <v>41</v>
      </c>
    </row>
    <row r="46" spans="1:9" x14ac:dyDescent="0.2">
      <c r="A46" s="30" t="s">
        <v>231</v>
      </c>
      <c r="B46" s="26" t="str">
        <f>DEC2HEX(G21*2^4+G20)</f>
        <v>2</v>
      </c>
      <c r="C46" s="13"/>
    </row>
    <row r="47" spans="1:9" x14ac:dyDescent="0.2">
      <c r="A47" s="30" t="s">
        <v>232</v>
      </c>
      <c r="B47" s="26" t="str">
        <f>DEC2HEX(G22)</f>
        <v>4</v>
      </c>
      <c r="C47" s="13"/>
    </row>
    <row r="48" spans="1:9" x14ac:dyDescent="0.2">
      <c r="A48" s="87"/>
      <c r="B48" s="26"/>
      <c r="C48" s="13"/>
    </row>
    <row r="49" spans="1:6" ht="18" x14ac:dyDescent="0.25">
      <c r="A49" s="71" t="s">
        <v>81</v>
      </c>
      <c r="B49" s="26"/>
    </row>
    <row r="50" spans="1:6" x14ac:dyDescent="0.2">
      <c r="A50" s="30" t="s">
        <v>151</v>
      </c>
      <c r="B50" s="26" t="str">
        <f>DEC2HEX(G25*256+G26)</f>
        <v>A1B</v>
      </c>
      <c r="C50" s="13"/>
    </row>
    <row r="51" spans="1:6" x14ac:dyDescent="0.2">
      <c r="A51" s="30" t="s">
        <v>152</v>
      </c>
      <c r="B51" s="70">
        <f>IF(E26 &lt; D26, 1, 0)</f>
        <v>0</v>
      </c>
    </row>
    <row r="52" spans="1:6" ht="25.5" x14ac:dyDescent="0.2">
      <c r="A52" s="81" t="s">
        <v>265</v>
      </c>
      <c r="B52" s="26" t="str">
        <f>DEC2HEX(G32*2^16+500/8/B5)</f>
        <v>18</v>
      </c>
    </row>
    <row r="53" spans="1:6" ht="25.5" x14ac:dyDescent="0.2">
      <c r="A53" s="81" t="s">
        <v>266</v>
      </c>
      <c r="B53" s="26">
        <f>IF('DSI and MDP registers'!C29=1,
        IF('DSI and MDP registers'!C113&gt;5,
             DEC2HEX(G33*2^16+1000/8/B5),
             DEC2HEX(G33*2^16)
            ),
         0)</f>
        <v>0</v>
      </c>
    </row>
    <row r="54" spans="1:6" ht="38.25" x14ac:dyDescent="0.2">
      <c r="A54" s="81" t="s">
        <v>267</v>
      </c>
      <c r="B54" s="26">
        <f>IF(AND('DSI and MDP registers'!C29, 'DSI and MDP registers'!C30, 'DSI and MDP registers'!C113&lt;5), 1, 0)</f>
        <v>0</v>
      </c>
    </row>
    <row r="56" spans="1:6" x14ac:dyDescent="0.2">
      <c r="E56" s="15" t="s">
        <v>98</v>
      </c>
      <c r="F56" s="14">
        <v>50</v>
      </c>
    </row>
    <row r="57" spans="1:6" x14ac:dyDescent="0.2">
      <c r="E57" s="15" t="s">
        <v>99</v>
      </c>
      <c r="F57" s="14">
        <v>50</v>
      </c>
    </row>
    <row r="58" spans="1:6" x14ac:dyDescent="0.2">
      <c r="E58" s="15" t="s">
        <v>93</v>
      </c>
      <c r="F58" s="14">
        <v>10</v>
      </c>
    </row>
    <row r="59" spans="1:6" x14ac:dyDescent="0.2">
      <c r="E59" s="15" t="s">
        <v>94</v>
      </c>
      <c r="F59" s="14">
        <v>30</v>
      </c>
    </row>
    <row r="60" spans="1:6" x14ac:dyDescent="0.2">
      <c r="E60" s="15" t="s">
        <v>189</v>
      </c>
      <c r="F60" s="14">
        <v>10</v>
      </c>
    </row>
    <row r="61" spans="1:6" x14ac:dyDescent="0.2">
      <c r="E61" s="15" t="s">
        <v>233</v>
      </c>
      <c r="F61" s="14">
        <v>10</v>
      </c>
    </row>
    <row r="62" spans="1:6" x14ac:dyDescent="0.2">
      <c r="E62" s="15" t="s">
        <v>234</v>
      </c>
      <c r="F62" s="14">
        <v>10</v>
      </c>
    </row>
    <row r="63" spans="1:6" x14ac:dyDescent="0.2">
      <c r="E63" s="15" t="s">
        <v>206</v>
      </c>
      <c r="F63" s="14">
        <v>2</v>
      </c>
    </row>
    <row r="64" spans="1:6" x14ac:dyDescent="0.2">
      <c r="E64" s="15" t="s">
        <v>263</v>
      </c>
      <c r="F64" s="14">
        <v>5</v>
      </c>
    </row>
    <row r="65" spans="5:6" x14ac:dyDescent="0.2">
      <c r="E65" s="15" t="s">
        <v>264</v>
      </c>
      <c r="F65" s="14">
        <v>5</v>
      </c>
    </row>
  </sheetData>
  <mergeCells count="6">
    <mergeCell ref="B8:C8"/>
    <mergeCell ref="D8:F8"/>
    <mergeCell ref="H8:H9"/>
    <mergeCell ref="B30:C30"/>
    <mergeCell ref="D30:F30"/>
    <mergeCell ref="H30:H31"/>
  </mergeCells>
  <phoneticPr fontId="62" type="noConversion"/>
  <pageMargins left="0.75" right="0.75" top="0.5" bottom="0.5" header="0.3" footer="0.3"/>
  <pageSetup scale="50" fitToHeight="0" orientation="portrait" r:id="rId1"/>
  <headerFooter scaleWithDoc="0">
    <oddFooter xml:space="preserve">&amp;L&amp;8      80-NH713-1 V
&amp;C&amp;8 &amp;P
&amp;"Arial,Bold" MAY CONTAIN U.S. AND INTERNATIONAL EXPORT CONTROLLED INFORMATION&amp;R&amp;8 Confidential and Proprietary - Qualcomm Technologies, Inc.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69"/>
  <sheetViews>
    <sheetView view="pageBreakPreview" topLeftCell="A82" zoomScaleNormal="100" zoomScaleSheetLayoutView="100" workbookViewId="0">
      <selection activeCell="B104" sqref="B104"/>
    </sheetView>
  </sheetViews>
  <sheetFormatPr defaultRowHeight="12.75" x14ac:dyDescent="0.2"/>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10" ht="18" x14ac:dyDescent="0.25">
      <c r="A1" s="8" t="s">
        <v>80</v>
      </c>
      <c r="B1" s="14"/>
      <c r="C1" s="14"/>
      <c r="D1" s="14"/>
      <c r="E1" s="14"/>
      <c r="F1" s="14"/>
      <c r="G1" s="14"/>
      <c r="H1" s="14"/>
      <c r="I1" s="14"/>
      <c r="J1" s="14"/>
    </row>
    <row r="2" spans="1:10" ht="18" x14ac:dyDescent="0.25">
      <c r="A2" s="12" t="s">
        <v>129</v>
      </c>
      <c r="B2" s="11"/>
      <c r="C2" s="14"/>
      <c r="D2" s="14"/>
      <c r="E2" s="14"/>
      <c r="F2" s="14"/>
      <c r="G2" s="16"/>
      <c r="H2" s="14"/>
      <c r="I2" s="14"/>
      <c r="J2" s="14"/>
    </row>
    <row r="3" spans="1:10" x14ac:dyDescent="0.2">
      <c r="A3" s="24" t="s">
        <v>96</v>
      </c>
      <c r="B3" s="67">
        <f>ROUNDDOWN('DSI and MDP registers'!C105, 0)</f>
        <v>390</v>
      </c>
      <c r="C3" s="14" t="s">
        <v>15</v>
      </c>
      <c r="D3" s="14"/>
      <c r="E3" s="14"/>
      <c r="F3" s="14"/>
      <c r="G3" s="14"/>
      <c r="H3" s="14"/>
      <c r="I3" s="14"/>
      <c r="J3" s="14"/>
    </row>
    <row r="4" spans="1:10" x14ac:dyDescent="0.2">
      <c r="A4" s="24" t="s">
        <v>33</v>
      </c>
      <c r="B4" s="68">
        <f>'DSI and MDP registers'!C21/'DSI and MDP registers'!C22</f>
        <v>19.2</v>
      </c>
      <c r="C4" s="14" t="s">
        <v>15</v>
      </c>
      <c r="D4" s="14"/>
      <c r="E4" s="14"/>
      <c r="F4" s="14"/>
      <c r="G4" s="14"/>
      <c r="H4" s="14"/>
      <c r="I4" s="14"/>
      <c r="J4" s="14"/>
    </row>
    <row r="5" spans="1:10" x14ac:dyDescent="0.2">
      <c r="A5" s="24" t="s">
        <v>36</v>
      </c>
      <c r="B5" s="25">
        <f>10^3/B3</f>
        <v>2.5641025641025643</v>
      </c>
      <c r="C5" s="14" t="s">
        <v>37</v>
      </c>
      <c r="D5" s="14"/>
      <c r="E5" s="14"/>
      <c r="F5" s="14"/>
      <c r="G5" s="14"/>
      <c r="H5" s="14"/>
      <c r="I5" s="14"/>
      <c r="J5" s="14"/>
    </row>
    <row r="6" spans="1:10" x14ac:dyDescent="0.2">
      <c r="A6" s="24" t="s">
        <v>46</v>
      </c>
      <c r="B6" s="18">
        <f>10^3/B4</f>
        <v>52.083333333333336</v>
      </c>
      <c r="C6" s="14" t="s">
        <v>37</v>
      </c>
      <c r="D6" s="14"/>
      <c r="E6" s="14"/>
      <c r="F6" s="14"/>
      <c r="G6" s="14"/>
      <c r="H6" s="14"/>
      <c r="I6" s="14"/>
      <c r="J6" s="14"/>
    </row>
    <row r="7" spans="1:10" x14ac:dyDescent="0.2">
      <c r="A7" s="24" t="s">
        <v>89</v>
      </c>
      <c r="B7" s="26">
        <v>20</v>
      </c>
      <c r="C7" s="14" t="s">
        <v>37</v>
      </c>
      <c r="D7" s="14"/>
      <c r="E7" s="14"/>
      <c r="F7" s="14"/>
      <c r="G7" s="14"/>
      <c r="H7" s="14"/>
      <c r="I7" s="14"/>
      <c r="J7" s="14"/>
    </row>
    <row r="8" spans="1:10" x14ac:dyDescent="0.2">
      <c r="A8" s="29"/>
      <c r="B8" s="171" t="s">
        <v>92</v>
      </c>
      <c r="C8" s="172"/>
      <c r="D8" s="173" t="s">
        <v>77</v>
      </c>
      <c r="E8" s="173"/>
      <c r="F8" s="173"/>
      <c r="G8" s="77" t="s">
        <v>130</v>
      </c>
      <c r="H8" s="174" t="s">
        <v>186</v>
      </c>
      <c r="I8" s="14"/>
      <c r="J8" s="14"/>
    </row>
    <row r="9" spans="1:10" x14ac:dyDescent="0.2">
      <c r="A9" s="30"/>
      <c r="B9" s="27" t="s">
        <v>50</v>
      </c>
      <c r="C9" s="19" t="s">
        <v>51</v>
      </c>
      <c r="D9" s="123" t="s">
        <v>63</v>
      </c>
      <c r="E9" s="123" t="s">
        <v>64</v>
      </c>
      <c r="F9" s="20"/>
      <c r="G9" s="77" t="s">
        <v>49</v>
      </c>
      <c r="H9" s="175"/>
      <c r="I9" s="14"/>
      <c r="J9" s="14"/>
    </row>
    <row r="10" spans="1:10" x14ac:dyDescent="0.2">
      <c r="A10" s="30" t="s">
        <v>32</v>
      </c>
      <c r="B10" s="28">
        <v>38</v>
      </c>
      <c r="C10" s="21">
        <v>95</v>
      </c>
      <c r="D10" s="18">
        <f>MAX(ROUNDUP((B10/$B$5-$F$11*4)/8, 0),0)</f>
        <v>2</v>
      </c>
      <c r="E10" s="18">
        <f>MAX(ROUNDDOWN((C10/$B$5-$F$11*4)/8, 0),0)</f>
        <v>4</v>
      </c>
      <c r="F10" s="18">
        <f>ROUNDUP((E10-D10)*($F$60/100)+D10, 0)</f>
        <v>3</v>
      </c>
      <c r="G10" s="22">
        <f t="shared" ref="G10:G16" si="0">IF(F10&lt;0, 0, F10)</f>
        <v>3</v>
      </c>
      <c r="H10" s="17">
        <f>(G10*8 +G11*4)*$B$5</f>
        <v>61.538461538461547</v>
      </c>
      <c r="I10" s="14" t="str">
        <f>IF(OR(H10&lt;B10, H10&gt;C10), "fail", "")</f>
        <v/>
      </c>
      <c r="J10" s="14"/>
    </row>
    <row r="11" spans="1:10" ht="28.5" customHeight="1" x14ac:dyDescent="0.2">
      <c r="A11" s="84" t="s">
        <v>217</v>
      </c>
      <c r="B11" s="28"/>
      <c r="C11" s="21"/>
      <c r="D11" s="18"/>
      <c r="E11" s="18"/>
      <c r="F11" s="18">
        <f>IF(B3&lt;90, 1, 0)</f>
        <v>0</v>
      </c>
      <c r="G11" s="22">
        <f t="shared" si="0"/>
        <v>0</v>
      </c>
      <c r="H11" s="17"/>
      <c r="I11" s="14"/>
      <c r="J11" s="14"/>
    </row>
    <row r="12" spans="1:10" x14ac:dyDescent="0.2">
      <c r="A12" s="30" t="s">
        <v>34</v>
      </c>
      <c r="B12" s="28">
        <f>300-H10</f>
        <v>238.46153846153845</v>
      </c>
      <c r="C12" s="21"/>
      <c r="D12" s="18">
        <f>ROUNDUP((B12/$B$5)/8, 0) - 1</f>
        <v>11</v>
      </c>
      <c r="E12" s="18">
        <f>IF(D12&gt; 255, 511, 255)</f>
        <v>255</v>
      </c>
      <c r="F12" s="18">
        <f>ROUNDUP((E12-D12)*($F$67/100)+D12, 0)</f>
        <v>16</v>
      </c>
      <c r="G12" s="22">
        <f t="shared" si="0"/>
        <v>16</v>
      </c>
      <c r="H12" s="17">
        <f>((G12+1)*8)*$B$5</f>
        <v>348.71794871794873</v>
      </c>
      <c r="I12" s="14">
        <f>H10+H12</f>
        <v>410.25641025641028</v>
      </c>
      <c r="J12" s="14"/>
    </row>
    <row r="13" spans="1:10" x14ac:dyDescent="0.2">
      <c r="A13" s="30" t="s">
        <v>35</v>
      </c>
      <c r="B13" s="28">
        <v>60</v>
      </c>
      <c r="C13" s="21">
        <f>C24-$B$7</f>
        <v>115.76923076923077</v>
      </c>
      <c r="D13" s="18">
        <f>ROUNDUP((B13/$B$5)/8, 0)-1</f>
        <v>2</v>
      </c>
      <c r="E13" s="18">
        <f>ROUNDDOWN((C13/$B$5)/8, 0)-1</f>
        <v>4</v>
      </c>
      <c r="F13" s="18">
        <f>ROUNDUP((E13-D13)*($F$63/100)+D13, 0)</f>
        <v>3</v>
      </c>
      <c r="G13" s="22">
        <f t="shared" si="0"/>
        <v>3</v>
      </c>
      <c r="H13" s="17">
        <f>((G13+1)*8)*$B$5</f>
        <v>82.051282051282058</v>
      </c>
      <c r="I13" s="14" t="str">
        <f t="shared" ref="I13:I14" si="1">IF(OR(H13&lt;B13, H13&gt;C13), "fail", "")</f>
        <v/>
      </c>
      <c r="J13" s="14"/>
    </row>
    <row r="14" spans="1:10" x14ac:dyDescent="0.2">
      <c r="A14" s="30" t="s">
        <v>38</v>
      </c>
      <c r="B14" s="28">
        <f>40+4*B5</f>
        <v>50.256410256410255</v>
      </c>
      <c r="C14" s="21">
        <f>85+6*B5</f>
        <v>100.38461538461539</v>
      </c>
      <c r="D14" s="18">
        <f>MAX(ROUNDUP((B14/$B$5-$F$18*4)/8, 0),0)</f>
        <v>3</v>
      </c>
      <c r="E14" s="18">
        <f>MAX(ROUNDDOWN((C14/$B$5-$F$18*4)/8, 0),0)</f>
        <v>4</v>
      </c>
      <c r="F14" s="18">
        <f>ROUNDUP((E14-D14)*($F$61/100)+D14, 0)</f>
        <v>4</v>
      </c>
      <c r="G14" s="22">
        <f t="shared" si="0"/>
        <v>4</v>
      </c>
      <c r="H14" s="17">
        <f>(G14*8+G18*4)*$B$5</f>
        <v>82.051282051282058</v>
      </c>
      <c r="I14" s="14" t="str">
        <f t="shared" si="1"/>
        <v/>
      </c>
      <c r="J14" s="14"/>
    </row>
    <row r="15" spans="1:10" x14ac:dyDescent="0.2">
      <c r="A15" s="30" t="s">
        <v>39</v>
      </c>
      <c r="B15" s="28">
        <f>145+10*B5-H14</f>
        <v>88.589743589743577</v>
      </c>
      <c r="C15" s="21"/>
      <c r="D15" s="18">
        <f>ROUNDUP((B15/$B$5 )/8, 0) - 1</f>
        <v>4</v>
      </c>
      <c r="E15" s="18">
        <v>255</v>
      </c>
      <c r="F15" s="18">
        <f>ROUNDUP((E15-D15)*($F$64/100)+D15, 0)</f>
        <v>30</v>
      </c>
      <c r="G15" s="22">
        <f t="shared" si="0"/>
        <v>30</v>
      </c>
      <c r="H15" s="17">
        <f>((G15+1)*8)*$B$5</f>
        <v>635.89743589743591</v>
      </c>
      <c r="I15" s="14">
        <f>H14+H15</f>
        <v>717.94871794871801</v>
      </c>
      <c r="J15" s="14"/>
    </row>
    <row r="16" spans="1:10" x14ac:dyDescent="0.2">
      <c r="A16" s="30" t="s">
        <v>40</v>
      </c>
      <c r="B16" s="28">
        <f xml:space="preserve"> 60+4*B5</f>
        <v>70.256410256410263</v>
      </c>
      <c r="C16" s="21">
        <f>C23-$B$7</f>
        <v>115.76923076923077</v>
      </c>
      <c r="D16" s="18">
        <f>ROUNDUP((B16/$B$5)/8, 0)-1</f>
        <v>3</v>
      </c>
      <c r="E16" s="18">
        <f>ROUNDDOWN((C16/$B$5)/8, 0)-1</f>
        <v>4</v>
      </c>
      <c r="F16" s="18">
        <f>ROUNDUP((E16-D16)*($F$63/100)+D16, 0)</f>
        <v>4</v>
      </c>
      <c r="G16" s="22">
        <f t="shared" si="0"/>
        <v>4</v>
      </c>
      <c r="H16" s="17">
        <f>((G16+1)*8)*$B$5</f>
        <v>102.56410256410257</v>
      </c>
      <c r="I16" s="14" t="str">
        <f>IF(OR(H16&lt;B16, H16&gt;C16), "fail", "")</f>
        <v/>
      </c>
      <c r="J16" s="14"/>
    </row>
    <row r="17" spans="1:10" x14ac:dyDescent="0.2">
      <c r="A17" s="30" t="s">
        <v>170</v>
      </c>
      <c r="B17" s="28">
        <v>50</v>
      </c>
      <c r="C17" s="21"/>
      <c r="D17" s="18"/>
      <c r="E17" s="18"/>
      <c r="F17" s="18">
        <f>MAX(ROUNDUP((B17/B5+4*F18-8)/8, 0), 0)</f>
        <v>2</v>
      </c>
      <c r="G17" s="22">
        <f>IF(F17&lt;0, 0, F17)</f>
        <v>2</v>
      </c>
      <c r="H17" s="17">
        <f xml:space="preserve"> ((G17+1)*8 - (G18*4))*$B$5</f>
        <v>61.538461538461547</v>
      </c>
      <c r="I17" s="14" t="str">
        <f>IF(H17&lt;B17, "fail", "")</f>
        <v/>
      </c>
      <c r="J17" s="14"/>
    </row>
    <row r="18" spans="1:10" ht="37.5" customHeight="1" x14ac:dyDescent="0.2">
      <c r="A18" s="84" t="s">
        <v>218</v>
      </c>
      <c r="B18" s="28"/>
      <c r="C18" s="21"/>
      <c r="D18" s="18"/>
      <c r="E18" s="18"/>
      <c r="F18" s="18">
        <f>IF(B3&lt;120, 1, 0)</f>
        <v>0</v>
      </c>
      <c r="G18" s="22">
        <f>IF(F18&lt;0, 0, F18)</f>
        <v>0</v>
      </c>
      <c r="H18" s="17"/>
      <c r="I18" s="14"/>
      <c r="J18" s="14"/>
    </row>
    <row r="19" spans="1:10" x14ac:dyDescent="0.2">
      <c r="A19" s="30" t="s">
        <v>42</v>
      </c>
      <c r="B19" s="28">
        <v>100</v>
      </c>
      <c r="C19" s="21"/>
      <c r="D19" s="18">
        <f t="shared" ref="D19" si="2">ROUNDUP(B19/$B$5/8, 0) - 1</f>
        <v>4</v>
      </c>
      <c r="E19" s="18">
        <v>255</v>
      </c>
      <c r="F19" s="18">
        <f>ROUNDUP((E19-D19)*($F$62/100)+D19, 0)</f>
        <v>30</v>
      </c>
      <c r="G19" s="22">
        <f>IF(F19&lt;0, 0, F19)</f>
        <v>30</v>
      </c>
      <c r="H19" s="17">
        <f t="shared" ref="H19" si="3">(G19+1)*$B$5*8</f>
        <v>635.89743589743591</v>
      </c>
      <c r="I19" s="14" t="str">
        <f>IF(H19&lt;B19, "fail", "")</f>
        <v/>
      </c>
      <c r="J19" s="14"/>
    </row>
    <row r="20" spans="1:10" x14ac:dyDescent="0.2">
      <c r="A20" s="30" t="s">
        <v>43</v>
      </c>
      <c r="B20" s="28">
        <f>4*B6</f>
        <v>208.33333333333334</v>
      </c>
      <c r="C20" s="21">
        <f>4*B6</f>
        <v>208.33333333333334</v>
      </c>
      <c r="D20" s="18"/>
      <c r="E20" s="18"/>
      <c r="F20" s="18">
        <f>B20</f>
        <v>208.33333333333334</v>
      </c>
      <c r="G20" s="22">
        <v>2</v>
      </c>
      <c r="H20" s="18">
        <f>(G20+2)*10^3/$B$4</f>
        <v>208.33333333333334</v>
      </c>
      <c r="I20" s="14"/>
      <c r="J20" s="14"/>
    </row>
    <row r="21" spans="1:10" x14ac:dyDescent="0.2">
      <c r="A21" s="30" t="s">
        <v>45</v>
      </c>
      <c r="B21" s="28">
        <f>B6</f>
        <v>52.083333333333336</v>
      </c>
      <c r="C21" s="21">
        <f>2*B6</f>
        <v>104.16666666666667</v>
      </c>
      <c r="D21" s="18"/>
      <c r="E21" s="18"/>
      <c r="F21" s="18">
        <f>B21</f>
        <v>52.083333333333336</v>
      </c>
      <c r="G21" s="22">
        <v>0</v>
      </c>
      <c r="H21" s="18">
        <f>(G21+2)*10^3/$B$4</f>
        <v>104.16666666666667</v>
      </c>
      <c r="I21" s="14"/>
      <c r="J21" s="14"/>
    </row>
    <row r="22" spans="1:10" x14ac:dyDescent="0.2">
      <c r="A22" s="30" t="s">
        <v>44</v>
      </c>
      <c r="B22" s="28">
        <f>5*B6</f>
        <v>260.41666666666669</v>
      </c>
      <c r="C22" s="21">
        <f>5*B6</f>
        <v>260.41666666666669</v>
      </c>
      <c r="D22" s="18"/>
      <c r="E22" s="18"/>
      <c r="F22" s="18">
        <f>B22</f>
        <v>260.41666666666669</v>
      </c>
      <c r="G22" s="22">
        <v>4</v>
      </c>
      <c r="H22" s="18">
        <f>(G22+1)*10^3/$B$4</f>
        <v>260.41666666666669</v>
      </c>
      <c r="I22" s="14"/>
      <c r="J22" s="14"/>
    </row>
    <row r="23" spans="1:10" x14ac:dyDescent="0.2">
      <c r="A23" s="30" t="s">
        <v>90</v>
      </c>
      <c r="B23" s="28"/>
      <c r="C23" s="21">
        <f>105+12*$B$5</f>
        <v>135.76923076923077</v>
      </c>
      <c r="D23" s="18"/>
      <c r="E23" s="18"/>
      <c r="F23" s="18"/>
      <c r="G23" s="23"/>
      <c r="H23" s="18">
        <f>H16+$B$7/2</f>
        <v>112.56410256410257</v>
      </c>
      <c r="I23" s="14"/>
      <c r="J23" s="14"/>
    </row>
    <row r="24" spans="1:10" x14ac:dyDescent="0.2">
      <c r="A24" s="30" t="s">
        <v>91</v>
      </c>
      <c r="B24" s="28"/>
      <c r="C24" s="21">
        <f>105+12*$B$5</f>
        <v>135.76923076923077</v>
      </c>
      <c r="D24" s="18"/>
      <c r="E24" s="18"/>
      <c r="F24" s="18"/>
      <c r="G24" s="23"/>
      <c r="H24" s="18">
        <f>H13 + $B$7/2</f>
        <v>92.051282051282058</v>
      </c>
      <c r="I24" s="14"/>
      <c r="J24" s="14"/>
    </row>
    <row r="25" spans="1:10" x14ac:dyDescent="0.2">
      <c r="A25" s="30" t="s">
        <v>47</v>
      </c>
      <c r="B25" s="28">
        <f>60+52*B5</f>
        <v>193.33333333333334</v>
      </c>
      <c r="C25" s="21"/>
      <c r="D25" s="18">
        <f>ROUNDUP((B25+(G13 + 1) * 8 * $B$5 + 2.5*B5)/(16*B5), 0)-1</f>
        <v>6</v>
      </c>
      <c r="E25" s="18">
        <v>255</v>
      </c>
      <c r="F25" s="18">
        <f>ROUNDUP((E25-D25)*($F$66/100)+D25, 0)</f>
        <v>19</v>
      </c>
      <c r="G25" s="22">
        <f>IF(F25&lt;0, 0, F25)</f>
        <v>19</v>
      </c>
      <c r="H25" s="18">
        <f>(G25+1)*16*B5-0.5*B5-H16</f>
        <v>716.66666666666674</v>
      </c>
      <c r="I25" s="14"/>
      <c r="J25" s="14"/>
    </row>
    <row r="26" spans="1:10" x14ac:dyDescent="0.2">
      <c r="A26" s="30" t="s">
        <v>48</v>
      </c>
      <c r="B26" s="28">
        <f>8*B5</f>
        <v>20.512820512820515</v>
      </c>
      <c r="C26" s="21"/>
      <c r="D26" s="18">
        <f>ROUNDUP((B26+(G27+1+G10+G12+1)*8*$B$5-2.5*$B$5)/(16*$B$5),0)-1</f>
        <v>11</v>
      </c>
      <c r="E26" s="18">
        <v>255</v>
      </c>
      <c r="F26" s="18">
        <f>ROUNDUP((E26-D26)*($F$65/100)+D26, 0)</f>
        <v>15</v>
      </c>
      <c r="G26" s="22">
        <f>IF(F26&lt;0, 0, IF(D26&gt;E26, ROUNDDOWN(F26/2, 0), F26))</f>
        <v>15</v>
      </c>
      <c r="H26" s="18">
        <f>(G26+1)*16*B5- (G27 + 1 + G10 +G12 + 1)* 8 * $B$5 + 2.5 * $B$5</f>
        <v>191.02564102564105</v>
      </c>
      <c r="I26" s="14"/>
      <c r="J26" s="14"/>
    </row>
    <row r="27" spans="1:10" x14ac:dyDescent="0.2">
      <c r="A27" s="30" t="s">
        <v>182</v>
      </c>
      <c r="B27" s="28">
        <v>50</v>
      </c>
      <c r="C27" s="21"/>
      <c r="D27" s="18"/>
      <c r="E27" s="18"/>
      <c r="F27" s="18">
        <f>MAX(ROUNDUP((B27/$B$5+4*$F$11-8)/8, 0), 0)</f>
        <v>2</v>
      </c>
      <c r="G27" s="22">
        <f>IF(F27&lt;0, 0, F27)</f>
        <v>2</v>
      </c>
      <c r="H27" s="17">
        <f>IF(G11=0, (G27+1)*$B$5*8, (G27+0.5)*$B$5*8)</f>
        <v>61.538461538461547</v>
      </c>
      <c r="I27" s="14" t="str">
        <f>IF(H27&lt;B27, "fail", "")</f>
        <v/>
      </c>
      <c r="J27" s="14"/>
    </row>
    <row r="28" spans="1:10" x14ac:dyDescent="0.2">
      <c r="A28" s="30" t="s">
        <v>131</v>
      </c>
      <c r="B28" s="3"/>
      <c r="C28" s="3"/>
      <c r="D28" s="5"/>
      <c r="E28" s="14"/>
      <c r="F28" s="14"/>
      <c r="G28" s="14"/>
      <c r="H28" s="18">
        <f>SUM(H10:H17) +  H19+SUM(H25:H27)  +B6+8*B5</f>
        <v>3052.0833333333335</v>
      </c>
      <c r="I28" s="14"/>
      <c r="J28" s="14"/>
    </row>
    <row r="29" spans="1:10" s="14" customFormat="1" x14ac:dyDescent="0.2">
      <c r="A29" s="129"/>
      <c r="B29" s="3"/>
      <c r="C29" s="3"/>
      <c r="D29" s="5"/>
      <c r="H29" s="86"/>
    </row>
    <row r="30" spans="1:10" s="14" customFormat="1" ht="15.75" x14ac:dyDescent="0.25">
      <c r="A30" s="130" t="s">
        <v>271</v>
      </c>
      <c r="B30" s="176" t="s">
        <v>262</v>
      </c>
      <c r="C30" s="172"/>
      <c r="D30" s="173" t="s">
        <v>77</v>
      </c>
      <c r="E30" s="173"/>
      <c r="F30" s="173"/>
      <c r="G30" s="77" t="s">
        <v>130</v>
      </c>
      <c r="H30" s="177" t="s">
        <v>186</v>
      </c>
    </row>
    <row r="31" spans="1:10" s="14" customFormat="1" x14ac:dyDescent="0.2">
      <c r="A31" s="30"/>
      <c r="B31" s="27" t="s">
        <v>50</v>
      </c>
      <c r="C31" s="19" t="s">
        <v>51</v>
      </c>
      <c r="D31" s="124" t="s">
        <v>63</v>
      </c>
      <c r="E31" s="124" t="s">
        <v>64</v>
      </c>
      <c r="F31" s="20"/>
      <c r="G31" s="77"/>
      <c r="H31" s="178"/>
    </row>
    <row r="32" spans="1:10" s="14" customFormat="1" x14ac:dyDescent="0.2">
      <c r="A32" s="30" t="s">
        <v>260</v>
      </c>
      <c r="B32" s="31">
        <f>IF(B3&gt;1500, B5*(2^15), 0)</f>
        <v>0</v>
      </c>
      <c r="C32" s="31">
        <f>IF(B3&gt;1500, 100*1000, 0)</f>
        <v>0</v>
      </c>
      <c r="D32" s="128">
        <f>IF(B3&gt;1500, ROUNDUP((B32+1000)/(8*$B$5),0), 0)</f>
        <v>0</v>
      </c>
      <c r="E32" s="128">
        <f>IF(B3&gt;1500, ROUNDDOWN((C32+1000)/(8*$B$5), 0), 0)</f>
        <v>0</v>
      </c>
      <c r="F32" s="26">
        <f>ROUNDUP((E32-D32)*($F$68/100)+D32, 0)</f>
        <v>0</v>
      </c>
      <c r="G32" s="26">
        <f>IF(F32&lt;0, 0, F32)</f>
        <v>0</v>
      </c>
      <c r="H32" s="18">
        <f>IF(G32&gt;0, G32*8*B5-1000, 0)</f>
        <v>0</v>
      </c>
      <c r="I32" s="14" t="str">
        <f>IF(OR(H32&lt;B32, H32&gt;C32), "fail", "")</f>
        <v/>
      </c>
    </row>
    <row r="33" spans="1:10" s="14" customFormat="1" x14ac:dyDescent="0.2">
      <c r="A33" s="30" t="s">
        <v>261</v>
      </c>
      <c r="B33" s="31">
        <f>IF(B3&gt;1500, B5*(2^12), 0)</f>
        <v>0</v>
      </c>
      <c r="C33" s="31">
        <f>IF(B3&gt;1500,
         MIN(10,
                   IF(AND('DSI and MDP registers'!C113&lt;5, 'DSI and MDP registers'!C30=1),
                        'DSI and MDP registers'!C113-2*((H14+H15+H16+H17+H19)/1000),
                        'DSI and MDP registers'!C113-2*(H28/1000)
                       )
                   )*1000,
          0)</f>
        <v>0</v>
      </c>
      <c r="D33" s="128">
        <f>IF(B3&gt;1500,
       IF(AND('DSI and MDP registers'!C113&lt;5, 'DSI and MDP registers'!C30=1),
           ROUNDUP((B33+I15+H17)/(8*$B$5),0),
           ROUNDUP((B33+I12+H27+H26)/(8*$B$5),0)
          ),
      0)</f>
        <v>0</v>
      </c>
      <c r="E33" s="128">
        <f>IF(B3&gt;1500,
       IF(AND('DSI and MDP registers'!C113&lt;5, 'DSI and MDP registers'!C30=1),
           ROUNDDOWN((C33+I15+H17)/(8*$B$5),0),
           ROUNDOWN((C33+I12+H27+H26)/(8*$B$5),0)
          ),
      0)</f>
        <v>0</v>
      </c>
      <c r="F33" s="26">
        <f>ROUNDUP((E33-D33)*($F$69/100)+D33, 0)</f>
        <v>0</v>
      </c>
      <c r="G33" s="26">
        <f>IF(F33&lt;0, 0, F33)</f>
        <v>0</v>
      </c>
      <c r="H33" s="18">
        <f>IF(G33&gt;0,
       IF(AND('DSI and MDP registers'!C113&lt;5, 'DSI and MDP registers'!C30=1),
           G33*8*B5-I15-H17,
           G33*8*B5-I12-H27-H26
          ),
     0)</f>
        <v>0</v>
      </c>
      <c r="I33" s="14" t="str">
        <f>IF(OR(H33&lt;B33,
             H33&gt;C33,
             IF(AND('DSI and MDP registers'!C113&lt;5, 'DSI and MDP registers'!C30=1),
                 (H33+2*(H14+H15+H16+H17+H19)&gt;'DSI and MDP registers'!C113*1000),
                 (H33+2*H28&gt;'DSI and MDP registers'!C113*1000)
                )
             ),
        "fail",
        ""
      )</f>
        <v/>
      </c>
    </row>
    <row r="34" spans="1:10" s="14" customFormat="1" ht="38.25" x14ac:dyDescent="0.2">
      <c r="A34" s="81" t="s">
        <v>268</v>
      </c>
      <c r="B34" s="31"/>
      <c r="C34" s="31"/>
      <c r="D34" s="128">
        <f>ROUNDUP(11.5+13/'DSI and MDP registers'!C4/'DSI and MDP registers'!C3/2+('DSI PHY 4.0.0 DPHY timing'!G16+'DSI PHY 4.0.0 DPHY timing'!G19+1)/2+2, 0)</f>
        <v>33</v>
      </c>
      <c r="E34" s="128"/>
      <c r="F34" s="26"/>
      <c r="G34" s="26">
        <f>D34</f>
        <v>33</v>
      </c>
      <c r="H34" s="18">
        <f>(G34+1)*16*B5-H16</f>
        <v>1292.3076923076924</v>
      </c>
    </row>
    <row r="35" spans="1:10" x14ac:dyDescent="0.2">
      <c r="A35" s="127"/>
      <c r="B35" s="85"/>
      <c r="C35" s="85"/>
      <c r="D35" s="126"/>
      <c r="E35" s="126"/>
      <c r="F35" s="126"/>
      <c r="G35" s="126"/>
      <c r="H35" s="126"/>
      <c r="I35" s="14"/>
      <c r="J35" s="14"/>
    </row>
    <row r="36" spans="1:10" ht="18" x14ac:dyDescent="0.25">
      <c r="A36" s="125" t="s">
        <v>258</v>
      </c>
      <c r="B36" s="14"/>
      <c r="C36" s="14"/>
      <c r="D36" s="14"/>
      <c r="E36" s="14"/>
      <c r="F36" s="14"/>
      <c r="G36" s="14"/>
      <c r="H36" s="14"/>
      <c r="I36" s="14"/>
      <c r="J36" s="14"/>
    </row>
    <row r="37" spans="1:10" x14ac:dyDescent="0.2">
      <c r="A37" s="30" t="s">
        <v>253</v>
      </c>
      <c r="B37" s="31" t="s">
        <v>132</v>
      </c>
      <c r="C37" s="3"/>
      <c r="D37" s="14"/>
      <c r="E37" s="14"/>
      <c r="F37" s="14"/>
      <c r="G37" s="14"/>
      <c r="H37" s="14"/>
      <c r="I37" s="14"/>
      <c r="J37" s="14"/>
    </row>
    <row r="38" spans="1:10" x14ac:dyDescent="0.2">
      <c r="A38" s="30" t="s">
        <v>221</v>
      </c>
      <c r="B38" s="26" t="str">
        <f>DEC2HEX(G11*2+G18)</f>
        <v>0</v>
      </c>
      <c r="C38" s="13" t="s">
        <v>222</v>
      </c>
      <c r="D38" s="14"/>
      <c r="E38" s="14"/>
      <c r="F38" s="14"/>
      <c r="G38" s="14"/>
      <c r="H38" s="14"/>
      <c r="I38" s="14"/>
      <c r="J38" s="14"/>
    </row>
    <row r="39" spans="1:10" x14ac:dyDescent="0.2">
      <c r="A39" s="30" t="s">
        <v>223</v>
      </c>
      <c r="B39" s="26" t="str">
        <f>DEC2HEX(G12)</f>
        <v>10</v>
      </c>
      <c r="C39" s="13" t="s">
        <v>34</v>
      </c>
      <c r="D39" s="14"/>
      <c r="E39" s="14"/>
      <c r="F39" s="14"/>
      <c r="G39" s="14"/>
      <c r="H39" s="14"/>
      <c r="I39" s="14"/>
      <c r="J39" s="14"/>
    </row>
    <row r="40" spans="1:10" x14ac:dyDescent="0.2">
      <c r="A40" s="30" t="s">
        <v>224</v>
      </c>
      <c r="B40" s="26" t="str">
        <f>DEC2HEX(G10)</f>
        <v>3</v>
      </c>
      <c r="C40" s="13" t="s">
        <v>32</v>
      </c>
      <c r="D40" s="14"/>
      <c r="E40" s="14"/>
      <c r="F40" s="14"/>
      <c r="G40" s="14"/>
      <c r="H40" s="14"/>
      <c r="I40" s="14"/>
      <c r="J40" s="14"/>
    </row>
    <row r="41" spans="1:10" x14ac:dyDescent="0.2">
      <c r="A41" s="30" t="s">
        <v>225</v>
      </c>
      <c r="B41" s="26" t="str">
        <f>DEC2HEX(G13)</f>
        <v>3</v>
      </c>
      <c r="C41" s="13" t="s">
        <v>35</v>
      </c>
      <c r="D41" s="14"/>
      <c r="E41" s="14"/>
      <c r="F41" s="14"/>
      <c r="G41" s="14"/>
      <c r="H41" s="14"/>
      <c r="I41" s="14"/>
      <c r="J41" s="14"/>
    </row>
    <row r="42" spans="1:10" x14ac:dyDescent="0.2">
      <c r="A42" s="30" t="s">
        <v>226</v>
      </c>
      <c r="B42" s="26" t="str">
        <f>DEC2HEX(G19)</f>
        <v>1E</v>
      </c>
      <c r="C42" s="13" t="s">
        <v>42</v>
      </c>
      <c r="D42" s="14"/>
      <c r="E42" s="14"/>
      <c r="F42" s="14"/>
      <c r="G42" s="14"/>
      <c r="H42" s="14"/>
      <c r="I42" s="14"/>
      <c r="J42" s="14"/>
    </row>
    <row r="43" spans="1:10" x14ac:dyDescent="0.2">
      <c r="A43" s="30" t="s">
        <v>227</v>
      </c>
      <c r="B43" s="26" t="str">
        <f>DEC2HEX(G15)</f>
        <v>1E</v>
      </c>
      <c r="C43" s="13" t="s">
        <v>39</v>
      </c>
      <c r="D43" s="14"/>
      <c r="E43" s="14"/>
      <c r="F43" s="14"/>
      <c r="G43" s="14"/>
      <c r="H43" s="14"/>
      <c r="I43" s="14"/>
      <c r="J43" s="14"/>
    </row>
    <row r="44" spans="1:10" x14ac:dyDescent="0.2">
      <c r="A44" s="30" t="s">
        <v>228</v>
      </c>
      <c r="B44" s="26" t="str">
        <f>DEC2HEX(G14)</f>
        <v>4</v>
      </c>
      <c r="C44" s="13" t="s">
        <v>38</v>
      </c>
      <c r="D44" s="14"/>
      <c r="E44" s="14"/>
      <c r="F44" s="14"/>
      <c r="G44" s="14"/>
      <c r="H44" s="14"/>
      <c r="I44" s="14"/>
      <c r="J44" s="14"/>
    </row>
    <row r="45" spans="1:10" x14ac:dyDescent="0.2">
      <c r="A45" s="30" t="s">
        <v>229</v>
      </c>
      <c r="B45" s="26" t="str">
        <f>DEC2HEX(G16)</f>
        <v>4</v>
      </c>
      <c r="C45" s="13" t="s">
        <v>40</v>
      </c>
      <c r="D45" s="14"/>
      <c r="E45" s="14"/>
      <c r="F45" s="14"/>
      <c r="G45" s="14"/>
      <c r="H45" s="14"/>
      <c r="I45" s="14"/>
      <c r="J45" s="14"/>
    </row>
    <row r="46" spans="1:10" x14ac:dyDescent="0.2">
      <c r="A46" s="30" t="s">
        <v>230</v>
      </c>
      <c r="B46" s="26" t="str">
        <f>DEC2HEX(MAX(G17, G27))</f>
        <v>2</v>
      </c>
      <c r="C46" s="13" t="s">
        <v>41</v>
      </c>
      <c r="D46" s="14"/>
      <c r="E46" s="14"/>
      <c r="F46" s="14"/>
      <c r="G46" s="14"/>
      <c r="H46" s="14"/>
      <c r="I46" s="14"/>
      <c r="J46" s="14"/>
    </row>
    <row r="47" spans="1:10" x14ac:dyDescent="0.2">
      <c r="A47" s="30" t="s">
        <v>231</v>
      </c>
      <c r="B47" s="26" t="str">
        <f>DEC2HEX(G21*2^4+G20)</f>
        <v>2</v>
      </c>
      <c r="C47" s="13" t="s">
        <v>259</v>
      </c>
      <c r="D47" s="14"/>
      <c r="E47" s="14"/>
      <c r="F47" s="14"/>
      <c r="G47" s="14"/>
      <c r="H47" s="14"/>
      <c r="I47" s="14"/>
      <c r="J47" s="14"/>
    </row>
    <row r="48" spans="1:10" x14ac:dyDescent="0.2">
      <c r="A48" s="30" t="s">
        <v>232</v>
      </c>
      <c r="B48" s="26" t="str">
        <f>DEC2HEX(G22)</f>
        <v>4</v>
      </c>
      <c r="C48" s="13" t="s">
        <v>44</v>
      </c>
      <c r="D48" s="14"/>
      <c r="E48" s="14"/>
      <c r="F48" s="14"/>
      <c r="G48" s="14"/>
      <c r="H48" s="14"/>
      <c r="I48" s="14"/>
      <c r="J48" s="14"/>
    </row>
    <row r="49" spans="1:10" s="14" customFormat="1" x14ac:dyDescent="0.2">
      <c r="A49" s="30" t="s">
        <v>254</v>
      </c>
      <c r="B49" s="26" t="str">
        <f>DEC2HEX(G26)</f>
        <v>F</v>
      </c>
      <c r="C49" s="13" t="s">
        <v>48</v>
      </c>
    </row>
    <row r="50" spans="1:10" s="14" customFormat="1" x14ac:dyDescent="0.2">
      <c r="A50" s="30" t="s">
        <v>255</v>
      </c>
      <c r="B50" s="26" t="str">
        <f>IF(AND('DSI and MDP registers'!C29, 'DSI and MDP registers'!C30, 'DSI and MDP registers'!C113&lt;5),
       DEC2HEX(MAX(G25, G34)),
       DEC2HEX(G25)
      )</f>
        <v>13</v>
      </c>
      <c r="C50" s="13" t="s">
        <v>47</v>
      </c>
    </row>
    <row r="51" spans="1:10" s="14" customFormat="1" x14ac:dyDescent="0.2">
      <c r="A51" s="30" t="s">
        <v>256</v>
      </c>
      <c r="B51" s="70">
        <f>0</f>
        <v>0</v>
      </c>
      <c r="C51" s="13"/>
    </row>
    <row r="52" spans="1:10" x14ac:dyDescent="0.2">
      <c r="A52" s="87"/>
      <c r="B52" s="26"/>
      <c r="C52" s="13"/>
      <c r="D52" s="14"/>
      <c r="E52" s="14"/>
      <c r="F52" s="14"/>
      <c r="G52" s="14"/>
      <c r="H52" s="14"/>
      <c r="I52" s="14"/>
      <c r="J52" s="14"/>
    </row>
    <row r="53" spans="1:10" ht="18" x14ac:dyDescent="0.25">
      <c r="A53" s="71" t="s">
        <v>81</v>
      </c>
      <c r="B53" s="26"/>
      <c r="C53" s="14"/>
      <c r="D53" s="14"/>
      <c r="E53" s="14"/>
      <c r="F53" s="14"/>
      <c r="G53" s="14"/>
      <c r="H53" s="14"/>
      <c r="I53" s="14"/>
      <c r="J53" s="14"/>
    </row>
    <row r="54" spans="1:10" x14ac:dyDescent="0.2">
      <c r="A54" s="30" t="s">
        <v>151</v>
      </c>
      <c r="B54" s="70">
        <f>0</f>
        <v>0</v>
      </c>
      <c r="C54" s="13"/>
      <c r="D54" s="14"/>
      <c r="E54" s="14"/>
      <c r="F54" s="14"/>
      <c r="G54" s="14"/>
      <c r="H54" s="14"/>
      <c r="I54" s="14"/>
      <c r="J54" s="14"/>
    </row>
    <row r="55" spans="1:10" x14ac:dyDescent="0.2">
      <c r="A55" s="30" t="s">
        <v>152</v>
      </c>
      <c r="B55" s="70">
        <f>0</f>
        <v>0</v>
      </c>
      <c r="C55" s="14"/>
      <c r="D55" s="14"/>
      <c r="E55" s="14"/>
      <c r="F55" s="14"/>
      <c r="G55" s="14"/>
      <c r="H55" s="14"/>
      <c r="I55" s="14"/>
      <c r="J55" s="14"/>
    </row>
    <row r="56" spans="1:10" x14ac:dyDescent="0.2">
      <c r="A56" s="30" t="s">
        <v>257</v>
      </c>
      <c r="B56" s="70">
        <f>0</f>
        <v>0</v>
      </c>
      <c r="C56" s="14"/>
      <c r="D56" s="14"/>
      <c r="E56" s="14"/>
      <c r="F56" s="14"/>
      <c r="G56" s="14"/>
      <c r="H56" s="14"/>
      <c r="I56" s="14"/>
      <c r="J56" s="14"/>
    </row>
    <row r="57" spans="1:10" ht="25.5" x14ac:dyDescent="0.2">
      <c r="A57" s="81" t="s">
        <v>265</v>
      </c>
      <c r="B57" s="26" t="str">
        <f>DEC2HEX(G32*2^16+1000/8/B5)</f>
        <v>30</v>
      </c>
      <c r="C57" s="14"/>
      <c r="D57" s="14"/>
      <c r="E57" s="14"/>
      <c r="F57" s="14"/>
      <c r="G57" s="14"/>
      <c r="H57" s="14"/>
      <c r="I57" s="14"/>
      <c r="J57" s="14"/>
    </row>
    <row r="58" spans="1:10" ht="25.5" x14ac:dyDescent="0.2">
      <c r="A58" s="81" t="s">
        <v>266</v>
      </c>
      <c r="B58" s="26">
        <f>IF('DSI and MDP registers'!C29=1,
        IF('DSI and MDP registers'!C113&gt;5,
             DEC2HEX(G33*2^16+1000/8/B5),
             DEC2HEX(G33*2^16)
            ),
         0)</f>
        <v>0</v>
      </c>
      <c r="C58" s="14"/>
      <c r="D58" s="14"/>
      <c r="E58" s="14"/>
      <c r="F58" s="14"/>
      <c r="G58" s="14"/>
      <c r="H58" s="14"/>
      <c r="I58" s="14"/>
      <c r="J58" s="14"/>
    </row>
    <row r="59" spans="1:10" ht="38.25" x14ac:dyDescent="0.2">
      <c r="A59" s="81" t="s">
        <v>267</v>
      </c>
      <c r="B59" s="26">
        <f>IF(AND('DSI and MDP registers'!C29, 'DSI and MDP registers'!C30, 'DSI and MDP registers'!C113&lt;5), 1, 0)</f>
        <v>0</v>
      </c>
      <c r="C59" s="14"/>
      <c r="D59" s="14"/>
      <c r="E59" s="14"/>
      <c r="F59" s="14"/>
      <c r="G59" s="14"/>
      <c r="H59" s="14"/>
      <c r="I59" s="14"/>
      <c r="J59" s="14"/>
    </row>
    <row r="60" spans="1:10" x14ac:dyDescent="0.2">
      <c r="A60" s="14"/>
      <c r="B60" s="14"/>
      <c r="C60" s="14"/>
      <c r="D60" s="14"/>
      <c r="E60" s="15" t="s">
        <v>98</v>
      </c>
      <c r="F60" s="14">
        <v>50</v>
      </c>
      <c r="G60" s="14"/>
      <c r="H60" s="14"/>
      <c r="I60" s="14"/>
      <c r="J60" s="14"/>
    </row>
    <row r="61" spans="1:10" x14ac:dyDescent="0.2">
      <c r="A61" s="14"/>
      <c r="B61" s="14"/>
      <c r="C61" s="14"/>
      <c r="D61" s="14"/>
      <c r="E61" s="15" t="s">
        <v>99</v>
      </c>
      <c r="F61" s="14">
        <v>50</v>
      </c>
      <c r="G61" s="14"/>
      <c r="H61" s="14"/>
      <c r="I61" s="14"/>
      <c r="J61" s="14"/>
    </row>
    <row r="62" spans="1:10" x14ac:dyDescent="0.2">
      <c r="A62" s="14"/>
      <c r="B62" s="14"/>
      <c r="C62" s="14"/>
      <c r="D62" s="14"/>
      <c r="E62" s="15" t="s">
        <v>93</v>
      </c>
      <c r="F62" s="14">
        <v>10</v>
      </c>
      <c r="G62" s="14"/>
      <c r="H62" s="14"/>
      <c r="I62" s="14"/>
      <c r="J62" s="14"/>
    </row>
    <row r="63" spans="1:10" x14ac:dyDescent="0.2">
      <c r="A63" s="14"/>
      <c r="B63" s="14"/>
      <c r="C63" s="14"/>
      <c r="D63" s="14"/>
      <c r="E63" s="15" t="s">
        <v>94</v>
      </c>
      <c r="F63" s="14">
        <v>30</v>
      </c>
      <c r="G63" s="14"/>
      <c r="H63" s="14"/>
      <c r="I63" s="14"/>
      <c r="J63" s="14"/>
    </row>
    <row r="64" spans="1:10" x14ac:dyDescent="0.2">
      <c r="A64" s="14"/>
      <c r="B64" s="14"/>
      <c r="C64" s="14"/>
      <c r="D64" s="14"/>
      <c r="E64" s="15" t="s">
        <v>189</v>
      </c>
      <c r="F64" s="14">
        <v>10</v>
      </c>
      <c r="G64" s="14"/>
      <c r="H64" s="14"/>
      <c r="I64" s="14"/>
      <c r="J64" s="14"/>
    </row>
    <row r="65" spans="1:10" x14ac:dyDescent="0.2">
      <c r="A65" s="14"/>
      <c r="B65" s="14"/>
      <c r="C65" s="14"/>
      <c r="D65" s="14"/>
      <c r="E65" s="15" t="s">
        <v>233</v>
      </c>
      <c r="F65" s="14">
        <v>1.25</v>
      </c>
      <c r="G65" s="14"/>
      <c r="H65" s="14"/>
      <c r="I65" s="14"/>
      <c r="J65" s="14"/>
    </row>
    <row r="66" spans="1:10" x14ac:dyDescent="0.2">
      <c r="A66" s="14"/>
      <c r="B66" s="14"/>
      <c r="C66" s="14"/>
      <c r="D66" s="14"/>
      <c r="E66" s="15" t="s">
        <v>234</v>
      </c>
      <c r="F66" s="14">
        <v>5</v>
      </c>
      <c r="G66" s="14"/>
      <c r="H66" s="14"/>
      <c r="I66" s="14"/>
      <c r="J66" s="14"/>
    </row>
    <row r="67" spans="1:10" x14ac:dyDescent="0.2">
      <c r="A67" s="14"/>
      <c r="B67" s="14"/>
      <c r="C67" s="14"/>
      <c r="D67" s="14"/>
      <c r="E67" s="15" t="s">
        <v>206</v>
      </c>
      <c r="F67" s="14">
        <v>2</v>
      </c>
      <c r="G67" s="14"/>
      <c r="H67" s="14"/>
      <c r="I67" s="14"/>
      <c r="J67" s="14"/>
    </row>
    <row r="68" spans="1:10" x14ac:dyDescent="0.2">
      <c r="E68" s="15" t="s">
        <v>263</v>
      </c>
      <c r="F68">
        <v>5</v>
      </c>
      <c r="G68" s="14"/>
    </row>
    <row r="69" spans="1:10" x14ac:dyDescent="0.2">
      <c r="E69" s="15" t="s">
        <v>264</v>
      </c>
      <c r="F69">
        <v>5</v>
      </c>
      <c r="G69" s="14"/>
    </row>
  </sheetData>
  <mergeCells count="6">
    <mergeCell ref="B8:C8"/>
    <mergeCell ref="D8:F8"/>
    <mergeCell ref="H8:H9"/>
    <mergeCell ref="B30:C30"/>
    <mergeCell ref="D30:F30"/>
    <mergeCell ref="H30:H31"/>
  </mergeCells>
  <phoneticPr fontId="62" type="noConversion"/>
  <pageMargins left="0.7" right="0.7" top="0.75" bottom="0.75" header="0.3" footer="0.3"/>
  <pageSetup scale="47" orientation="portrait" r:id="rId1"/>
  <headerFooter>
    <oddFooter xml:space="preserve">&amp;L&amp;8 80-NH713-1 V
&amp;C &amp;P
 &amp;"Arial,Bold"&amp;8MAY CONTAIN U.S. AND INTERNATIONAL EXPORT CONTROLLED INFORMATION&amp;R&amp;8Confidential and Proprietary - Qualcomm Technologies, Inc.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83"/>
  <sheetViews>
    <sheetView zoomScaleNormal="100" workbookViewId="0">
      <selection activeCell="F38" sqref="F38"/>
    </sheetView>
  </sheetViews>
  <sheetFormatPr defaultRowHeight="12.75" x14ac:dyDescent="0.2"/>
  <cols>
    <col min="1" max="1" width="82.7109375" customWidth="1"/>
    <col min="2" max="2" width="19" customWidth="1"/>
    <col min="3" max="3" width="16.5703125" customWidth="1"/>
    <col min="4" max="4" width="21.85546875" customWidth="1"/>
    <col min="5" max="5" width="25" customWidth="1"/>
    <col min="6" max="6" width="26" customWidth="1"/>
    <col min="7" max="7" width="22.140625" customWidth="1"/>
    <col min="8" max="8" width="25.5703125" customWidth="1"/>
    <col min="9" max="9" width="28" customWidth="1"/>
    <col min="10" max="10" width="80.42578125" customWidth="1"/>
  </cols>
  <sheetData>
    <row r="1" spans="1:10" ht="18" x14ac:dyDescent="0.25">
      <c r="A1" s="8" t="s">
        <v>80</v>
      </c>
    </row>
    <row r="2" spans="1:10" ht="18" x14ac:dyDescent="0.25">
      <c r="A2" s="12" t="s">
        <v>129</v>
      </c>
      <c r="B2" s="139"/>
      <c r="C2" s="144"/>
      <c r="D2" s="144"/>
      <c r="E2" s="144"/>
      <c r="F2" s="144"/>
      <c r="G2" s="144"/>
      <c r="H2" s="156"/>
      <c r="I2" s="156"/>
      <c r="J2" s="157"/>
    </row>
    <row r="3" spans="1:10" ht="14.25" x14ac:dyDescent="0.2">
      <c r="A3" s="24" t="s">
        <v>96</v>
      </c>
      <c r="B3" s="138">
        <f>ROUNDDOWN('DSI and MDP registers'!C105, 0)</f>
        <v>390</v>
      </c>
      <c r="C3" s="144" t="s">
        <v>314</v>
      </c>
      <c r="D3" s="158"/>
      <c r="E3" s="158"/>
      <c r="F3" s="158"/>
      <c r="G3" s="144"/>
      <c r="H3" s="144"/>
      <c r="I3" s="144"/>
      <c r="J3" s="157"/>
    </row>
    <row r="4" spans="1:10" ht="14.25" x14ac:dyDescent="0.2">
      <c r="A4" s="24" t="s">
        <v>33</v>
      </c>
      <c r="B4" s="140">
        <f>'DSI and MDP registers'!C21/'DSI and MDP registers'!C22</f>
        <v>19.2</v>
      </c>
      <c r="C4" s="144" t="s">
        <v>15</v>
      </c>
      <c r="D4" s="144"/>
      <c r="E4" s="144"/>
      <c r="F4" s="144"/>
      <c r="G4" s="144"/>
      <c r="H4" s="144"/>
      <c r="I4" s="144"/>
      <c r="J4" s="157"/>
    </row>
    <row r="5" spans="1:10" ht="14.25" x14ac:dyDescent="0.2">
      <c r="A5" s="24" t="s">
        <v>309</v>
      </c>
      <c r="B5" s="140" t="s">
        <v>252</v>
      </c>
      <c r="C5" s="75"/>
      <c r="D5" s="144"/>
      <c r="E5" s="144"/>
      <c r="F5" s="144"/>
      <c r="G5" s="144"/>
      <c r="H5" s="144"/>
      <c r="I5" s="144"/>
      <c r="J5" s="157"/>
    </row>
    <row r="6" spans="1:10" ht="14.25" x14ac:dyDescent="0.2">
      <c r="A6" s="24" t="s">
        <v>36</v>
      </c>
      <c r="B6" s="141">
        <f>10^3/B3</f>
        <v>2.5641025641025643</v>
      </c>
      <c r="C6" s="144" t="s">
        <v>37</v>
      </c>
      <c r="D6" s="144"/>
      <c r="E6" s="158"/>
      <c r="F6" s="158"/>
      <c r="G6" s="158"/>
      <c r="H6" s="144"/>
      <c r="I6" s="144"/>
      <c r="J6" s="159"/>
    </row>
    <row r="7" spans="1:10" ht="14.25" x14ac:dyDescent="0.2">
      <c r="A7" s="24" t="s">
        <v>310</v>
      </c>
      <c r="B7" s="141">
        <v>52</v>
      </c>
      <c r="C7" s="144" t="s">
        <v>37</v>
      </c>
      <c r="D7" s="144"/>
      <c r="E7" s="158"/>
      <c r="F7" s="158"/>
      <c r="G7" s="158"/>
      <c r="H7" s="144"/>
      <c r="I7" s="144"/>
      <c r="J7" s="159"/>
    </row>
    <row r="8" spans="1:10" ht="14.25" x14ac:dyDescent="0.2">
      <c r="A8" s="24" t="s">
        <v>311</v>
      </c>
      <c r="B8" s="142">
        <v>50</v>
      </c>
      <c r="C8" s="144" t="s">
        <v>37</v>
      </c>
      <c r="D8" s="144"/>
      <c r="E8" s="144"/>
      <c r="F8" s="144"/>
      <c r="G8" s="144"/>
      <c r="H8" s="144"/>
      <c r="I8" s="144"/>
      <c r="J8" s="157"/>
    </row>
    <row r="9" spans="1:10" ht="14.25" x14ac:dyDescent="0.2">
      <c r="A9" s="24" t="s">
        <v>312</v>
      </c>
      <c r="B9" s="142">
        <f>ROUNDUP((G20+G22)/TXBYTECLKHS,0)</f>
        <v>10</v>
      </c>
      <c r="C9" s="75" t="s">
        <v>315</v>
      </c>
      <c r="D9" s="144"/>
      <c r="E9" s="144"/>
      <c r="F9" s="144"/>
      <c r="G9" s="144"/>
      <c r="H9" s="144"/>
      <c r="I9" s="144"/>
      <c r="J9" s="157"/>
    </row>
    <row r="10" spans="1:10" ht="14.25" x14ac:dyDescent="0.2">
      <c r="A10" s="24" t="s">
        <v>313</v>
      </c>
      <c r="B10" s="143">
        <v>35</v>
      </c>
      <c r="C10" s="144" t="s">
        <v>37</v>
      </c>
      <c r="D10" s="144"/>
      <c r="E10" s="144"/>
      <c r="F10" s="144"/>
      <c r="G10" s="144"/>
      <c r="H10" s="144"/>
      <c r="I10" s="144"/>
      <c r="J10" s="157"/>
    </row>
    <row r="11" spans="1:10" ht="15" customHeight="1" x14ac:dyDescent="0.2">
      <c r="A11" s="29"/>
      <c r="B11" s="171" t="s">
        <v>262</v>
      </c>
      <c r="C11" s="184"/>
      <c r="D11" s="136" t="s">
        <v>316</v>
      </c>
      <c r="E11" s="77" t="s">
        <v>130</v>
      </c>
      <c r="F11" s="77" t="s">
        <v>548</v>
      </c>
      <c r="G11" s="174" t="s">
        <v>186</v>
      </c>
      <c r="H11" s="174" t="s">
        <v>317</v>
      </c>
      <c r="I11" s="187" t="s">
        <v>318</v>
      </c>
      <c r="J11" s="179" t="s">
        <v>319</v>
      </c>
    </row>
    <row r="12" spans="1:10" ht="28.5" customHeight="1" x14ac:dyDescent="0.2">
      <c r="A12" s="30"/>
      <c r="B12" s="27" t="s">
        <v>50</v>
      </c>
      <c r="C12" s="137" t="s">
        <v>51</v>
      </c>
      <c r="D12" s="136"/>
      <c r="E12" s="136"/>
      <c r="F12" s="136"/>
      <c r="G12" s="185"/>
      <c r="H12" s="186"/>
      <c r="I12" s="188"/>
      <c r="J12" s="179"/>
    </row>
    <row r="13" spans="1:10" ht="14.25" x14ac:dyDescent="0.2">
      <c r="A13" s="129" t="s">
        <v>32</v>
      </c>
      <c r="B13" s="145">
        <v>38</v>
      </c>
      <c r="C13" s="146">
        <v>95</v>
      </c>
      <c r="D13" s="147">
        <f>ROUNDUP((C13-B13)*($B$65/100)+B13, 0)</f>
        <v>38</v>
      </c>
      <c r="E13" s="22">
        <f>PREPARE_clocklanes!S1</f>
        <v>3</v>
      </c>
      <c r="F13" s="162" t="s">
        <v>320</v>
      </c>
      <c r="G13" s="147">
        <f>hstxthsprpr_clklane*TXBYTECLKHS + gtp_extension_clklane_factor + HSTX_TEN_DELAY - LPTX_IO_FALL_DELAY</f>
        <v>51.79487179487181</v>
      </c>
      <c r="H13" s="148" t="str">
        <f>IF(OR(G13&lt;B13, G13&gt;C13), "fail", "ok")</f>
        <v>ok</v>
      </c>
      <c r="I13" s="148"/>
      <c r="J13" s="163" t="s">
        <v>321</v>
      </c>
    </row>
    <row r="14" spans="1:10" ht="14.25" x14ac:dyDescent="0.2">
      <c r="A14" s="84" t="s">
        <v>322</v>
      </c>
      <c r="B14" s="28"/>
      <c r="C14" s="21"/>
      <c r="D14" s="142"/>
      <c r="E14" s="22">
        <f>GTP_clocklanes!S1</f>
        <v>10</v>
      </c>
      <c r="F14" s="162" t="s">
        <v>320</v>
      </c>
      <c r="G14" s="142" t="s">
        <v>323</v>
      </c>
      <c r="H14" s="143"/>
      <c r="I14" s="143"/>
      <c r="J14" s="163" t="s">
        <v>324</v>
      </c>
    </row>
    <row r="15" spans="1:10" ht="14.25" x14ac:dyDescent="0.2">
      <c r="A15" s="129" t="s">
        <v>34</v>
      </c>
      <c r="B15" s="145">
        <f>300-G13</f>
        <v>248.20512820512818</v>
      </c>
      <c r="C15" s="146"/>
      <c r="D15" s="147">
        <f>B15*(1+B70/100)</f>
        <v>248.20512820512818</v>
      </c>
      <c r="E15" s="22">
        <f>MAX(ROUNDUP((T_CLK_ZERO - DELTA + gtp_extension_datalanes_factor + HSTX_TEN_DELAY )/TXBYTECLKHS-4, 0), 0)</f>
        <v>8</v>
      </c>
      <c r="F15" s="149"/>
      <c r="G15" s="147">
        <f>(hstxthszero_clklane+4)*TXBYTECLKHS+DELTA-gtp_extension_datalanes_factor-HSTX_TEN_DELAY</f>
        <v>265.51282051282055</v>
      </c>
      <c r="H15" s="148" t="str">
        <f>IF(G15&lt;B15, "fail", "ok")</f>
        <v>ok</v>
      </c>
      <c r="I15" s="148"/>
      <c r="J15" s="150"/>
    </row>
    <row r="16" spans="1:10" ht="14.25" x14ac:dyDescent="0.2">
      <c r="A16" s="129" t="s">
        <v>35</v>
      </c>
      <c r="B16" s="145">
        <v>60</v>
      </c>
      <c r="C16" s="146">
        <f>C29-$B$10</f>
        <v>100.76923076923077</v>
      </c>
      <c r="D16" s="147">
        <f>ROUNDUP((C16-B16)*(B68/100)+B16, 0)</f>
        <v>60</v>
      </c>
      <c r="E16" s="149">
        <f>ROUNDUP((T_CLK_TRAIL-gtp_extension_clklane_factor+DELTA)/TXBYTECLKHS+1, 0)</f>
        <v>5</v>
      </c>
      <c r="F16" s="149"/>
      <c r="G16" s="147">
        <f>(hstxthstrail_clklane-1)*TXBYTECLKHS+gtp_extension_clklane_factor-DELTA</f>
        <v>62.820512820512832</v>
      </c>
      <c r="H16" s="148" t="str">
        <f>IF(OR(G16&lt;B16, G16&gt;C16), "fail", "ok")</f>
        <v>ok</v>
      </c>
      <c r="I16" s="148"/>
      <c r="J16" s="150"/>
    </row>
    <row r="17" spans="1:10" ht="14.25" x14ac:dyDescent="0.2">
      <c r="A17" s="129" t="s">
        <v>38</v>
      </c>
      <c r="B17" s="145">
        <f>40+4*B6</f>
        <v>50.256410256410255</v>
      </c>
      <c r="C17" s="146">
        <f>85+6*B6</f>
        <v>100.38461538461539</v>
      </c>
      <c r="D17" s="147">
        <f>ROUNDUP((C17-B17)*(B66/100)+B17, 0)</f>
        <v>51</v>
      </c>
      <c r="E17" s="149">
        <f>PREPARE_datalanes!S1</f>
        <v>4</v>
      </c>
      <c r="F17" s="162" t="s">
        <v>320</v>
      </c>
      <c r="G17" s="147">
        <f>hstxthsprpr_datalanes*TXBYTECLKHS+gtp_extension_datalanes_factor+HSTX_TEN_DELAY-LPTX_IO_FALL_DELAY</f>
        <v>67.179487179487182</v>
      </c>
      <c r="H17" s="148" t="str">
        <f>IF(OR(G17&lt;B17, G17&gt;C17), "fail", "ok")</f>
        <v>ok</v>
      </c>
      <c r="I17" s="148"/>
      <c r="J17" s="163" t="s">
        <v>325</v>
      </c>
    </row>
    <row r="18" spans="1:10" ht="14.25" x14ac:dyDescent="0.2">
      <c r="A18" s="84" t="s">
        <v>326</v>
      </c>
      <c r="B18" s="28"/>
      <c r="C18" s="21"/>
      <c r="D18" s="142"/>
      <c r="E18" s="22">
        <f>GTP_datalanes!S1</f>
        <v>8</v>
      </c>
      <c r="F18" s="162" t="s">
        <v>320</v>
      </c>
      <c r="G18" s="142"/>
      <c r="H18" s="143"/>
      <c r="I18" s="143"/>
      <c r="J18" s="163" t="s">
        <v>327</v>
      </c>
    </row>
    <row r="19" spans="1:10" ht="14.25" x14ac:dyDescent="0.2">
      <c r="A19" s="129" t="s">
        <v>39</v>
      </c>
      <c r="B19" s="145">
        <f>145+10*B6-G17</f>
        <v>103.46153846153845</v>
      </c>
      <c r="C19" s="146"/>
      <c r="D19" s="147">
        <f>ROUNDUP(B19*(B69/100)+B19, 0)</f>
        <v>104</v>
      </c>
      <c r="E19" s="149">
        <f>MAX(ROUNDUP((T_HS_ZERO-WADDR_minus_RADDR*TXBYTECLKHS-PHI-DELTA+gtp_extension_datalanes_factor+HSTX_TEN_DELAY)/TXBYTECLKHS-2, 0), 0)</f>
        <v>0</v>
      </c>
      <c r="F19" s="149"/>
      <c r="G19" s="147">
        <f>(hstxthszero_datalanes+2)*TXBYTECLKHS + WADDR_minus_RADDR*TXBYTECLKHS + PHI + DELTA - gtp_extension_datalanes_factor - HSTX_TEN_DELAY</f>
        <v>177.30769230769232</v>
      </c>
      <c r="H19" s="148" t="str">
        <f>IF(G19&lt;B19, "fail", "ok")</f>
        <v>ok</v>
      </c>
      <c r="I19" s="148"/>
      <c r="J19" s="150"/>
    </row>
    <row r="20" spans="1:10" ht="14.25" x14ac:dyDescent="0.2">
      <c r="A20" s="129" t="s">
        <v>40</v>
      </c>
      <c r="B20" s="145">
        <f xml:space="preserve"> 60+4*B6</f>
        <v>70.256410256410263</v>
      </c>
      <c r="C20" s="146">
        <f>C28-$B$10</f>
        <v>100.76923076923077</v>
      </c>
      <c r="D20" s="147">
        <f>ROUNDUP((C20-B20)*(B68/100)+B20, 0)</f>
        <v>71</v>
      </c>
      <c r="E20" s="149">
        <f>ROUNDUP((T_HS_TRAIL - gtp_extension_datalanes_factor + DELTA)/TXBYTECLKHS - 1, 0)</f>
        <v>4</v>
      </c>
      <c r="F20" s="149"/>
      <c r="G20" s="147">
        <f>(hstxhstrail_datalanes+1)*TXBYTECLKHS + gtp_extension_datalanes_factor - DELTA</f>
        <v>78.205128205128204</v>
      </c>
      <c r="H20" s="148" t="str">
        <f>IF(OR(G20&lt;B20, G20&gt;C20), "fail", "ok")</f>
        <v>ok</v>
      </c>
      <c r="I20" s="148"/>
      <c r="J20" s="150"/>
    </row>
    <row r="21" spans="1:10" ht="14.25" x14ac:dyDescent="0.2">
      <c r="A21" s="129" t="s">
        <v>328</v>
      </c>
      <c r="B21" s="145">
        <v>50</v>
      </c>
      <c r="C21" s="146"/>
      <c r="D21" s="147">
        <f>T_HS_RQST</f>
        <v>50</v>
      </c>
      <c r="E21" s="149">
        <f>IF(B5="N",MAX(ROUNDUP((T_HS_RQST+LPTX_IO_RISE_FALL_DELTA)/TXBYTECLKHS-2,0),0),T_HS_RQST!S1)</f>
        <v>2</v>
      </c>
      <c r="F21" s="149"/>
      <c r="G21" s="147">
        <f>((hstxthsrqst_datalanes+2)
*TXBYTECLKHS)-LPTX_IO_RISE_FALL_DELTA</f>
        <v>67.051282051282058</v>
      </c>
      <c r="H21" s="148" t="str">
        <f>IF(G21&lt;B21, "fail", "ok")</f>
        <v>ok</v>
      </c>
      <c r="I21" s="148"/>
      <c r="J21" s="150"/>
    </row>
    <row r="22" spans="1:10" ht="14.25" x14ac:dyDescent="0.2">
      <c r="A22" s="151" t="s">
        <v>329</v>
      </c>
      <c r="B22" s="145">
        <v>100</v>
      </c>
      <c r="C22" s="146"/>
      <c r="D22" s="147">
        <f>ROUNDUP(B22*(B67/100)+B22, 0)</f>
        <v>100</v>
      </c>
      <c r="E22" s="149">
        <f>MAX(ROUNDUP((T_HS_EXIT-LPTX_IO_FALL_DELAY+gtp_extension_datalanes_factor+WADDR_minus_RADDR*TXBYTECLKHS+HSTX_POFF_TIME )/TXBYTECLKHS - 4, 0), 0)</f>
        <v>7</v>
      </c>
      <c r="F22" s="14"/>
      <c r="G22" s="147">
        <f>(hstxthsexit_datalanes+4)*TXBYTECLKHS + LPTX_IO_FALL_DELAY - gtp_extension_datalanes_factor - WADDR_minus_RADDR*TXBYTECLKHS - HSTX_POFF_TIME</f>
        <v>107.94871794871796</v>
      </c>
      <c r="H22" s="148" t="str">
        <f>IF(G22&lt;B22, "fail", "ok")</f>
        <v>ok</v>
      </c>
      <c r="I22" s="148"/>
      <c r="J22" s="150"/>
    </row>
    <row r="23" spans="1:10" ht="14.25" x14ac:dyDescent="0.2">
      <c r="A23" s="151" t="s">
        <v>330</v>
      </c>
      <c r="B23" s="145">
        <v>100</v>
      </c>
      <c r="C23" s="146"/>
      <c r="D23" s="147">
        <f>ROUNDUP(B23*(B68/100)+B23, 0)</f>
        <v>100</v>
      </c>
      <c r="E23" s="149">
        <f>MAX(ROUNDUP((T_HS_EXIT-LPTX_IO_FALL_DELAY+gtp_extension_clklane_factor+HSTX_POFF_TIME )/TXBYTECLKHS - 4, 0), 0)</f>
        <v>2</v>
      </c>
      <c r="F23" s="14"/>
      <c r="G23" s="147">
        <f>(hstxthsexit_clklane+4)*TXBYTECLKHS + LPTX_IO_FALL_DELAY - gtp_extension_clklane_factor  - HSTX_POFF_TIME</f>
        <v>102.82051282051285</v>
      </c>
      <c r="H23" s="148" t="str">
        <f>IF(G23&lt;B23, "fail", "ok")</f>
        <v>ok</v>
      </c>
      <c r="I23" s="148"/>
      <c r="J23" s="150"/>
    </row>
    <row r="24" spans="1:10" ht="14.25" x14ac:dyDescent="0.2">
      <c r="A24" s="129" t="s">
        <v>43</v>
      </c>
      <c r="B24" s="145">
        <f>4*B7</f>
        <v>208</v>
      </c>
      <c r="C24" s="146">
        <f>4*B7</f>
        <v>208</v>
      </c>
      <c r="D24" s="147">
        <f>B24</f>
        <v>208</v>
      </c>
      <c r="E24" s="149">
        <v>3</v>
      </c>
      <c r="F24" s="162" t="s">
        <v>331</v>
      </c>
      <c r="G24" s="147">
        <f>(ttago+1)
*TLPX_SNPS</f>
        <v>208</v>
      </c>
      <c r="H24" s="148" t="str">
        <f>IF(G24&lt;B24, "fail", "ok")</f>
        <v>ok</v>
      </c>
      <c r="I24" s="148"/>
      <c r="J24" s="150"/>
    </row>
    <row r="25" spans="1:10" ht="14.25" x14ac:dyDescent="0.2">
      <c r="A25" s="129" t="s">
        <v>332</v>
      </c>
      <c r="B25" s="28">
        <f>TLPX_SLAVE</f>
        <v>52</v>
      </c>
      <c r="C25" s="21">
        <f>2*TLPX_SLAVE</f>
        <v>104</v>
      </c>
      <c r="D25" s="142">
        <f>B25</f>
        <v>52</v>
      </c>
      <c r="E25" s="22">
        <v>1</v>
      </c>
      <c r="F25" s="162" t="s">
        <v>333</v>
      </c>
      <c r="G25" s="142">
        <f xml:space="preserve"> LPRX_IO_DELAY_RISE - TLPX_EXT + 2*TLPX_SNPS + LPTX_IO_FALL_DELAY + ttasure*TLPX_SNPS</f>
        <v>147</v>
      </c>
      <c r="H25" s="143" t="str">
        <f>IF(OR(G25&lt;B25, G25&gt;C25), "fail", "ok")</f>
        <v>fail</v>
      </c>
      <c r="I25" s="148" t="str">
        <f>IF(TLPX_EXT*4&lt;G25, "fail", "ok")</f>
        <v>ok</v>
      </c>
      <c r="J25" s="150"/>
    </row>
    <row r="26" spans="1:10" ht="14.25" x14ac:dyDescent="0.2">
      <c r="A26" s="129" t="s">
        <v>334</v>
      </c>
      <c r="B26" s="28">
        <f>TLPX_SLAVE</f>
        <v>52</v>
      </c>
      <c r="C26" s="21">
        <f>2*TLPX_SLAVE</f>
        <v>104</v>
      </c>
      <c r="D26" s="142">
        <f>B26</f>
        <v>52</v>
      </c>
      <c r="E26" s="22">
        <v>1</v>
      </c>
      <c r="F26" s="162" t="s">
        <v>333</v>
      </c>
      <c r="G26" s="142">
        <f xml:space="preserve"> LPRX_IO_DELAY_RISE - TLPX_EXT  +  TLPX_SNPS+ LPTX_IO_FALL_DELAY + ttasure*TLPX_SNPS</f>
        <v>95</v>
      </c>
      <c r="H26" s="143" t="str">
        <f>IF(OR(G26&lt;B26, G26&gt;C26), "fail", "ok")</f>
        <v>ok</v>
      </c>
      <c r="I26" s="148" t="str">
        <f>IF(TLPX_EXT*4&lt;G26, "fail", "ok")</f>
        <v>ok</v>
      </c>
      <c r="J26" s="150"/>
    </row>
    <row r="27" spans="1:10" ht="14.25" x14ac:dyDescent="0.2">
      <c r="A27" s="129" t="s">
        <v>44</v>
      </c>
      <c r="B27" s="145">
        <f>5*B7</f>
        <v>260</v>
      </c>
      <c r="C27" s="146">
        <f>5*B7</f>
        <v>260</v>
      </c>
      <c r="D27" s="147">
        <f>B27</f>
        <v>260</v>
      </c>
      <c r="E27" s="162" t="s">
        <v>335</v>
      </c>
      <c r="F27" s="162" t="s">
        <v>335</v>
      </c>
      <c r="G27" s="142">
        <f>5
*TLPX_SNPS</f>
        <v>260</v>
      </c>
      <c r="H27" s="143" t="str">
        <f>IF(OR(G27&lt;B27, G27&gt;C27), "fail", "ok")</f>
        <v>ok</v>
      </c>
      <c r="I27" s="148"/>
      <c r="J27" s="150"/>
    </row>
    <row r="28" spans="1:10" ht="14.25" x14ac:dyDescent="0.2">
      <c r="A28" s="129" t="s">
        <v>90</v>
      </c>
      <c r="B28" s="28"/>
      <c r="C28" s="21">
        <f>105+12*$B$6</f>
        <v>135.76923076923077</v>
      </c>
      <c r="D28" s="142"/>
      <c r="E28" s="23"/>
      <c r="F28" s="23"/>
      <c r="G28" s="142">
        <f>G20+HSTX_POFF_TIME</f>
        <v>113.2051282051282</v>
      </c>
      <c r="H28" s="143" t="str">
        <f>IF(G28&gt;C28, "fail", "ok")</f>
        <v>ok</v>
      </c>
      <c r="I28" s="143"/>
      <c r="J28" s="150"/>
    </row>
    <row r="29" spans="1:10" ht="14.25" x14ac:dyDescent="0.2">
      <c r="A29" s="129" t="s">
        <v>91</v>
      </c>
      <c r="B29" s="28"/>
      <c r="C29" s="21">
        <f>105+12*$B$6</f>
        <v>135.76923076923077</v>
      </c>
      <c r="D29" s="142"/>
      <c r="E29" s="23"/>
      <c r="F29" s="23"/>
      <c r="G29" s="142">
        <f>G16 + HSTX_POFF_TIME</f>
        <v>97.820512820512832</v>
      </c>
      <c r="H29" s="143" t="str">
        <f>IF(G29&gt;C29, "fail", "ok")</f>
        <v>ok</v>
      </c>
      <c r="I29" s="143"/>
      <c r="J29" s="150"/>
    </row>
    <row r="30" spans="1:10" ht="14.25" x14ac:dyDescent="0.2">
      <c r="A30" s="129" t="s">
        <v>47</v>
      </c>
      <c r="B30" s="28">
        <f>60+52*B6</f>
        <v>193.33333333333334</v>
      </c>
      <c r="C30" s="21"/>
      <c r="D30" s="142">
        <f>ROUNDUP(B30*(B67/100)+B30, 0)</f>
        <v>194</v>
      </c>
      <c r="E30" s="22">
        <f>ROUNDUP(
(T_CLK_POST
-1.5*TXBYTECLKHS
-DELTA
+gtp_extension_datalanes_factor
+WADDR_minus_RADDR*TXBYTECLKHS
+HSTX_POFF_TIME)
 / TXBYTECLKHS-5,
 0) -MAX(
ROUNDUP(
(T_HS_ZERO
-WADDR_minus_RADDR*TXBYTECLKHS
-PHI
-DELTA
+gtp_extension_datalanes_factor
+HSTX_TEN_DELAY)
/TXBYTECLKHS-2,0), 0)</f>
        <v>9</v>
      </c>
      <c r="F30" s="22"/>
      <c r="G30" s="142">
        <f>(hstxthsclkpost_clklane
+MAX(
ROUNDUP(
(T_HS_ZERO
-WADDR_minus_RADDR*TXBYTECLKHS
-PHI
-DELTA
+gtp_extension_datalanes_factor
+HSTX_TEN_DELAY)
/TXBYTECLKHS-2,0), 0)
+5) * TXBYTECLKHS
+ 1.5*TXBYTECLKHS
+ DELTA
- gtp_extension_datalanes_factor
- WADDR_minus_RADDR*TXBYTECLKHS
- HSTX_POFF_TIME</f>
        <v>204.74358974358975</v>
      </c>
      <c r="H30" s="143" t="str">
        <f>IF(G30&lt;B30, "fail", "ok")</f>
        <v>ok</v>
      </c>
      <c r="I30" s="143"/>
      <c r="J30" s="150"/>
    </row>
    <row r="31" spans="1:10" ht="14.25" x14ac:dyDescent="0.2">
      <c r="A31" s="129" t="s">
        <v>48</v>
      </c>
      <c r="B31" s="145">
        <f>8*B6</f>
        <v>20.512820512820515</v>
      </c>
      <c r="C31" s="146"/>
      <c r="D31" s="147">
        <f>ROUNDUP(B31*(B67/100)+B31, 0)</f>
        <v>21</v>
      </c>
      <c r="E31" s="162" t="s">
        <v>335</v>
      </c>
      <c r="F31" s="162" t="s">
        <v>335</v>
      </c>
      <c r="G31" s="147">
        <f>6.5*TXBYTECLKHS+LPTX_IO_FALL_DELAY</f>
        <v>158.33333333333334</v>
      </c>
      <c r="H31" s="148" t="str">
        <f>IF(G31&lt;B31, "fail", "ok")</f>
        <v>ok</v>
      </c>
      <c r="I31" s="148"/>
      <c r="J31" s="150"/>
    </row>
    <row r="32" spans="1:10" ht="14.25" x14ac:dyDescent="0.2">
      <c r="A32" s="129" t="s">
        <v>336</v>
      </c>
      <c r="B32" s="145">
        <v>50</v>
      </c>
      <c r="C32" s="146"/>
      <c r="D32" s="147">
        <f>B32</f>
        <v>50</v>
      </c>
      <c r="E32" s="149">
        <f>MAX(ROUNDUP((T_HS_RQST+LPTX_IO_RISE_FALL_DELTA)/TXBYTECLKHS - 2, 0), 0)</f>
        <v>2</v>
      </c>
      <c r="F32" s="149"/>
      <c r="G32" s="147">
        <f>((hstxthsrqst_clklane+2)
*TXBYTECLKHS)-LPTX_IO_RISE_FALL_DELTA</f>
        <v>67.051282051282058</v>
      </c>
      <c r="H32" s="148" t="str">
        <f>IF(G32&lt;B32, "fail", "ok")</f>
        <v>ok</v>
      </c>
      <c r="I32" s="148"/>
      <c r="J32" s="150"/>
    </row>
    <row r="33" spans="1:10" ht="14.25" x14ac:dyDescent="0.2">
      <c r="A33" s="180"/>
      <c r="B33" s="181"/>
      <c r="C33" s="181"/>
      <c r="D33" s="181"/>
      <c r="E33" s="181"/>
      <c r="F33" s="181"/>
      <c r="G33" s="181"/>
      <c r="H33" s="181"/>
      <c r="I33" s="181"/>
      <c r="J33" s="150"/>
    </row>
    <row r="34" spans="1:10" ht="14.25" x14ac:dyDescent="0.2">
      <c r="A34" s="182"/>
      <c r="B34" s="183"/>
      <c r="C34" s="183"/>
      <c r="D34" s="183"/>
      <c r="E34" s="183"/>
      <c r="F34" s="183"/>
      <c r="G34" s="183"/>
      <c r="H34" s="183"/>
      <c r="I34" s="183"/>
      <c r="J34" s="150"/>
    </row>
    <row r="35" spans="1:10" ht="14.25" x14ac:dyDescent="0.2">
      <c r="A35" s="180"/>
      <c r="B35" s="181"/>
      <c r="C35" s="181"/>
      <c r="D35" s="181"/>
      <c r="E35" s="181"/>
      <c r="F35" s="181"/>
      <c r="G35" s="181"/>
      <c r="H35" s="181"/>
      <c r="I35" s="181"/>
      <c r="J35" s="150"/>
    </row>
    <row r="36" spans="1:10" ht="14.25" x14ac:dyDescent="0.2">
      <c r="A36" s="152"/>
      <c r="B36" s="152"/>
      <c r="C36" s="152"/>
      <c r="D36" s="152"/>
      <c r="E36" s="152"/>
      <c r="F36" s="152"/>
      <c r="G36" s="152"/>
      <c r="H36" s="152"/>
      <c r="I36" s="152"/>
      <c r="J36" s="150"/>
    </row>
    <row r="37" spans="1:10" ht="14.25" x14ac:dyDescent="0.2">
      <c r="A37" s="30" t="s">
        <v>337</v>
      </c>
      <c r="B37" s="3">
        <f>SUM(G13:G23)+SUM(G30:G32)</f>
        <v>1410.7692307692309</v>
      </c>
      <c r="C37" s="3"/>
      <c r="D37" s="144"/>
      <c r="E37" s="144"/>
      <c r="F37" s="144"/>
      <c r="G37" s="144"/>
      <c r="H37" s="144"/>
      <c r="I37" s="144"/>
      <c r="J37" s="157"/>
    </row>
    <row r="38" spans="1:10" ht="14.25" x14ac:dyDescent="0.2">
      <c r="A38" s="30" t="s">
        <v>338</v>
      </c>
      <c r="B38" s="3">
        <f>B37/tx_byteclk_hs</f>
        <v>68.775000000000006</v>
      </c>
      <c r="C38" s="3"/>
      <c r="D38" s="144"/>
      <c r="E38" s="144"/>
      <c r="F38" s="144"/>
      <c r="G38" s="144"/>
      <c r="H38" s="144"/>
      <c r="I38" s="144"/>
      <c r="J38" s="157"/>
    </row>
    <row r="39" spans="1:10" ht="14.25" x14ac:dyDescent="0.2">
      <c r="A39" s="144"/>
      <c r="B39" s="144"/>
      <c r="C39" s="144"/>
      <c r="D39" s="144"/>
      <c r="E39" s="144"/>
      <c r="F39" s="144"/>
      <c r="G39" s="144"/>
      <c r="H39" s="144"/>
      <c r="I39" s="144"/>
      <c r="J39" s="157"/>
    </row>
    <row r="40" spans="1:10" ht="18" x14ac:dyDescent="0.25">
      <c r="A40" s="69" t="s">
        <v>558</v>
      </c>
      <c r="B40" s="144"/>
      <c r="C40" s="144"/>
      <c r="D40" s="144"/>
      <c r="E40" s="144"/>
      <c r="F40" s="144"/>
      <c r="G40" s="144"/>
      <c r="H40" s="144"/>
      <c r="I40" s="144"/>
      <c r="J40" s="157"/>
    </row>
    <row r="41" spans="1:10" ht="14.25" x14ac:dyDescent="0.2">
      <c r="A41" s="30" t="s">
        <v>559</v>
      </c>
      <c r="B41" s="31" t="s">
        <v>132</v>
      </c>
      <c r="C41" s="3"/>
      <c r="D41" s="144"/>
      <c r="E41" s="144"/>
      <c r="F41" s="144"/>
      <c r="G41" s="144"/>
      <c r="H41" s="144"/>
      <c r="I41" s="144"/>
      <c r="J41" s="157"/>
    </row>
    <row r="42" spans="1:10" ht="14.25" x14ac:dyDescent="0.2">
      <c r="A42" s="30" t="s">
        <v>339</v>
      </c>
      <c r="B42" s="153" t="str">
        <f>DEC2HEX(hstxthszero_clklane)</f>
        <v>8</v>
      </c>
      <c r="C42" s="160"/>
      <c r="D42" s="144"/>
      <c r="E42" s="144"/>
      <c r="F42" s="144"/>
      <c r="G42" s="144"/>
      <c r="H42" s="144"/>
      <c r="I42" s="144"/>
      <c r="J42" s="157"/>
    </row>
    <row r="43" spans="1:10" ht="14.25" x14ac:dyDescent="0.2">
      <c r="A43" s="30" t="s">
        <v>340</v>
      </c>
      <c r="B43" s="153" t="str">
        <f>DEC2HEX(hstxthszero_datalanes)</f>
        <v>0</v>
      </c>
      <c r="C43" s="160"/>
      <c r="D43" s="144"/>
      <c r="E43" s="144"/>
      <c r="F43" s="144"/>
      <c r="G43" s="144"/>
      <c r="H43" s="144"/>
      <c r="I43" s="144"/>
      <c r="J43" s="157"/>
    </row>
    <row r="44" spans="1:10" ht="14.25" x14ac:dyDescent="0.2">
      <c r="A44" s="30" t="s">
        <v>341</v>
      </c>
      <c r="B44" s="153" t="str">
        <f>DEC2HEX(hstxthstrail_clklane)</f>
        <v>5</v>
      </c>
      <c r="C44" s="160"/>
      <c r="D44" s="144"/>
      <c r="E44" s="144"/>
      <c r="F44" s="144"/>
      <c r="G44" s="144"/>
      <c r="H44" s="144" t="s">
        <v>88</v>
      </c>
      <c r="I44" s="144" t="s">
        <v>88</v>
      </c>
      <c r="J44" s="157"/>
    </row>
    <row r="45" spans="1:10" ht="14.25" x14ac:dyDescent="0.2">
      <c r="A45" s="30" t="s">
        <v>342</v>
      </c>
      <c r="B45" s="153" t="str">
        <f>DEC2HEX(hstxhstrail_datalanes)</f>
        <v>4</v>
      </c>
      <c r="C45" s="160"/>
      <c r="D45" s="144"/>
      <c r="E45" s="144"/>
      <c r="F45" s="144"/>
      <c r="G45" s="144"/>
      <c r="H45" s="144"/>
      <c r="I45" s="144"/>
      <c r="J45" s="157"/>
    </row>
    <row r="46" spans="1:10" ht="14.25" x14ac:dyDescent="0.2">
      <c r="A46" s="30" t="s">
        <v>343</v>
      </c>
      <c r="B46" s="153" t="str">
        <f>DEC2HEX(hstxthsclkpost_clklane)</f>
        <v>9</v>
      </c>
      <c r="C46" s="160"/>
      <c r="D46" s="144"/>
      <c r="E46" s="144"/>
      <c r="F46" s="144"/>
      <c r="G46" s="144"/>
      <c r="H46" s="144"/>
      <c r="I46" s="144"/>
      <c r="J46" s="157"/>
    </row>
    <row r="47" spans="1:10" ht="14.25" x14ac:dyDescent="0.2">
      <c r="A47" s="30" t="s">
        <v>344</v>
      </c>
      <c r="B47" s="153" t="str">
        <f>DEC2HEX(hstxthsrqst_clklane)</f>
        <v>2</v>
      </c>
      <c r="C47" s="160"/>
      <c r="D47" s="144"/>
      <c r="E47" s="144"/>
      <c r="F47" s="144"/>
      <c r="G47" s="144"/>
      <c r="H47" s="144"/>
      <c r="I47" s="144"/>
      <c r="J47" s="157"/>
    </row>
    <row r="48" spans="1:10" ht="14.25" x14ac:dyDescent="0.2">
      <c r="A48" s="30" t="s">
        <v>345</v>
      </c>
      <c r="B48" s="153" t="str">
        <f>DEC2HEX(hstxthsrqst_datalanes)</f>
        <v>2</v>
      </c>
      <c r="C48" s="160"/>
      <c r="D48" s="144"/>
      <c r="E48" s="144"/>
      <c r="F48" s="144"/>
      <c r="G48" s="144"/>
      <c r="H48" s="144"/>
      <c r="I48" s="144"/>
      <c r="J48" s="157"/>
    </row>
    <row r="49" spans="1:10" ht="14.25" x14ac:dyDescent="0.2">
      <c r="A49" s="30" t="s">
        <v>346</v>
      </c>
      <c r="B49" s="153" t="str">
        <f>DEC2HEX(hstxthsexit_clklane)</f>
        <v>2</v>
      </c>
      <c r="C49" s="160"/>
      <c r="D49" s="144"/>
      <c r="E49" s="144"/>
      <c r="F49" s="144"/>
      <c r="G49" s="144"/>
      <c r="H49" s="144"/>
      <c r="I49" s="144"/>
      <c r="J49" s="157"/>
    </row>
    <row r="50" spans="1:10" ht="14.25" x14ac:dyDescent="0.2">
      <c r="A50" s="30" t="s">
        <v>347</v>
      </c>
      <c r="B50" s="153" t="str">
        <f>DEC2HEX(hstxthsexit_datalanes)</f>
        <v>7</v>
      </c>
      <c r="C50" s="160"/>
      <c r="D50" s="144"/>
      <c r="E50" s="144"/>
      <c r="F50" s="144"/>
      <c r="G50" s="144"/>
      <c r="H50" s="144"/>
      <c r="I50" s="144"/>
      <c r="J50" s="157"/>
    </row>
    <row r="51" spans="1:10" ht="14.25" x14ac:dyDescent="0.2">
      <c r="A51" s="30" t="s">
        <v>348</v>
      </c>
      <c r="B51" s="153" t="str">
        <f>DEC2HEX(ttago)</f>
        <v>3</v>
      </c>
      <c r="C51" s="160"/>
      <c r="D51" s="144"/>
      <c r="E51" s="144"/>
      <c r="F51" s="144"/>
      <c r="G51" s="144"/>
      <c r="H51" s="144"/>
      <c r="I51" s="144"/>
      <c r="J51" s="157"/>
    </row>
    <row r="52" spans="1:10" ht="14.25" x14ac:dyDescent="0.2">
      <c r="A52" s="30" t="s">
        <v>349</v>
      </c>
      <c r="B52" s="153" t="str">
        <f>DEC2HEX(ttasure)</f>
        <v>1</v>
      </c>
      <c r="C52" s="160"/>
      <c r="D52" s="144"/>
      <c r="E52" s="144"/>
      <c r="F52" s="144"/>
      <c r="G52" s="144"/>
      <c r="H52" s="144"/>
      <c r="I52" s="144"/>
      <c r="J52" s="157"/>
    </row>
    <row r="53" spans="1:10" ht="14.25" x14ac:dyDescent="0.2">
      <c r="A53" s="87" t="s">
        <v>350</v>
      </c>
      <c r="B53" s="153">
        <v>1</v>
      </c>
      <c r="C53" s="160"/>
      <c r="D53" s="144"/>
      <c r="E53" s="144"/>
      <c r="F53" s="144"/>
      <c r="G53" s="144"/>
      <c r="H53" s="144"/>
      <c r="I53" s="144"/>
      <c r="J53" s="157"/>
    </row>
    <row r="54" spans="1:10" ht="14.25" x14ac:dyDescent="0.2">
      <c r="A54" s="87" t="s">
        <v>351</v>
      </c>
      <c r="B54" s="153">
        <v>1</v>
      </c>
      <c r="C54" s="160"/>
      <c r="D54" s="144"/>
      <c r="E54" s="144"/>
      <c r="F54" s="144"/>
      <c r="G54" s="144"/>
      <c r="H54" s="144"/>
      <c r="I54" s="144"/>
      <c r="J54" s="157"/>
    </row>
    <row r="55" spans="1:10" ht="14.25" x14ac:dyDescent="0.2">
      <c r="A55" s="30" t="s">
        <v>352</v>
      </c>
      <c r="B55" s="153">
        <v>1</v>
      </c>
      <c r="C55" s="144"/>
      <c r="D55" s="144"/>
      <c r="E55" s="144"/>
      <c r="F55" s="144"/>
      <c r="G55" s="144"/>
      <c r="H55" s="144"/>
      <c r="I55" s="144"/>
      <c r="J55" s="157"/>
    </row>
    <row r="56" spans="1:10" ht="14.25" x14ac:dyDescent="0.2">
      <c r="A56" s="30" t="s">
        <v>353</v>
      </c>
      <c r="B56" s="153">
        <v>1</v>
      </c>
      <c r="C56" s="144"/>
      <c r="D56" s="144"/>
      <c r="E56" s="144"/>
      <c r="F56" s="144"/>
      <c r="G56" s="144"/>
      <c r="H56" s="144"/>
      <c r="I56" s="144"/>
      <c r="J56" s="157"/>
    </row>
    <row r="57" spans="1:10" ht="14.25" x14ac:dyDescent="0.2">
      <c r="A57" s="30" t="s">
        <v>354</v>
      </c>
      <c r="B57" s="153">
        <v>1</v>
      </c>
      <c r="C57" s="160"/>
      <c r="D57" s="144"/>
      <c r="E57" s="144"/>
      <c r="F57" s="144"/>
      <c r="G57" s="144"/>
      <c r="H57" s="144"/>
      <c r="I57" s="144"/>
      <c r="J57" s="157"/>
    </row>
    <row r="58" spans="1:10" ht="14.25" x14ac:dyDescent="0.2">
      <c r="A58" s="30" t="s">
        <v>355</v>
      </c>
      <c r="B58" s="153">
        <v>1</v>
      </c>
      <c r="C58" s="144"/>
      <c r="D58" s="144"/>
      <c r="E58" s="144"/>
      <c r="F58" s="144"/>
      <c r="G58" s="144"/>
      <c r="H58" s="144"/>
      <c r="I58" s="144"/>
      <c r="J58" s="157"/>
    </row>
    <row r="59" spans="1:10" ht="14.25" x14ac:dyDescent="0.2">
      <c r="A59" s="30" t="s">
        <v>356</v>
      </c>
      <c r="B59" s="153">
        <v>1</v>
      </c>
      <c r="C59" s="144"/>
      <c r="D59" s="144"/>
      <c r="E59" s="144"/>
      <c r="F59" s="144"/>
      <c r="G59" s="144"/>
      <c r="H59" s="144"/>
      <c r="I59" s="144"/>
      <c r="J59" s="157"/>
    </row>
    <row r="60" spans="1:10" ht="14.25" x14ac:dyDescent="0.2">
      <c r="A60" s="30" t="s">
        <v>357</v>
      </c>
      <c r="B60" s="153">
        <v>1</v>
      </c>
      <c r="C60" s="144"/>
      <c r="D60" s="144"/>
      <c r="E60" s="144"/>
      <c r="F60" s="144"/>
      <c r="G60" s="144"/>
      <c r="H60" s="144"/>
      <c r="I60" s="144"/>
      <c r="J60" s="157"/>
    </row>
    <row r="61" spans="1:10" ht="14.25" x14ac:dyDescent="0.2">
      <c r="A61" s="30" t="s">
        <v>358</v>
      </c>
      <c r="B61" s="153">
        <v>1</v>
      </c>
      <c r="C61" s="144"/>
      <c r="D61" s="144"/>
      <c r="E61" s="144"/>
      <c r="F61" s="144"/>
      <c r="G61" s="144"/>
      <c r="H61" s="144"/>
      <c r="I61" s="144"/>
      <c r="J61" s="157"/>
    </row>
    <row r="62" spans="1:10" s="14" customFormat="1" ht="14.25" x14ac:dyDescent="0.2">
      <c r="A62" s="30" t="s">
        <v>557</v>
      </c>
      <c r="B62" s="153">
        <v>1</v>
      </c>
      <c r="C62" s="144"/>
      <c r="D62" s="144"/>
      <c r="E62" s="144"/>
      <c r="F62" s="144"/>
      <c r="G62" s="144"/>
      <c r="H62" s="144"/>
      <c r="I62" s="144"/>
      <c r="J62" s="157"/>
    </row>
    <row r="63" spans="1:10" s="14" customFormat="1" ht="14.25" x14ac:dyDescent="0.2">
      <c r="A63" s="30" t="s">
        <v>556</v>
      </c>
      <c r="B63" s="153" t="str">
        <f>DEC2HEX(B9)</f>
        <v>A</v>
      </c>
      <c r="C63" s="144"/>
      <c r="D63" s="144"/>
      <c r="E63" s="144"/>
      <c r="F63" s="144"/>
      <c r="G63" s="144"/>
      <c r="H63" s="144"/>
      <c r="I63" s="144"/>
      <c r="J63" s="157"/>
    </row>
    <row r="64" spans="1:10" ht="14.25" x14ac:dyDescent="0.2">
      <c r="A64" s="144"/>
      <c r="B64" s="144"/>
      <c r="C64" s="144"/>
      <c r="D64" s="144"/>
      <c r="E64" s="144"/>
      <c r="F64" s="144"/>
      <c r="G64" s="144"/>
      <c r="H64" s="144"/>
      <c r="I64" s="144"/>
      <c r="J64" s="157"/>
    </row>
    <row r="65" spans="1:10" ht="14.25" x14ac:dyDescent="0.2">
      <c r="A65" s="154" t="s">
        <v>98</v>
      </c>
      <c r="B65" s="144">
        <v>0</v>
      </c>
      <c r="C65" s="144"/>
      <c r="D65" s="144"/>
      <c r="E65" s="144"/>
      <c r="F65" s="144"/>
      <c r="G65" s="144"/>
      <c r="H65" s="144"/>
      <c r="I65" s="144"/>
      <c r="J65" s="157"/>
    </row>
    <row r="66" spans="1:10" ht="14.25" x14ac:dyDescent="0.2">
      <c r="A66" s="154" t="s">
        <v>99</v>
      </c>
      <c r="B66" s="144">
        <v>0</v>
      </c>
      <c r="C66" s="144"/>
      <c r="D66" s="144"/>
      <c r="E66" s="144"/>
      <c r="F66" s="144"/>
      <c r="G66" s="144"/>
      <c r="H66" s="144"/>
      <c r="I66" s="144"/>
      <c r="J66" s="157"/>
    </row>
    <row r="67" spans="1:10" ht="14.25" x14ac:dyDescent="0.2">
      <c r="A67" s="154" t="s">
        <v>93</v>
      </c>
      <c r="B67" s="144">
        <v>0</v>
      </c>
      <c r="C67" s="144"/>
      <c r="D67" s="144"/>
      <c r="E67" s="144"/>
      <c r="F67" s="144"/>
      <c r="G67" s="144"/>
      <c r="H67" s="144"/>
      <c r="I67" s="144"/>
      <c r="J67" s="157"/>
    </row>
    <row r="68" spans="1:10" ht="14.25" x14ac:dyDescent="0.2">
      <c r="A68" s="154" t="s">
        <v>94</v>
      </c>
      <c r="B68" s="144">
        <v>0</v>
      </c>
      <c r="C68" s="144"/>
      <c r="D68" s="144"/>
      <c r="E68" s="144"/>
      <c r="F68" s="144"/>
      <c r="G68" s="144"/>
      <c r="H68" s="144"/>
      <c r="I68" s="144"/>
      <c r="J68" s="157"/>
    </row>
    <row r="69" spans="1:10" ht="14.25" x14ac:dyDescent="0.2">
      <c r="A69" s="154" t="s">
        <v>189</v>
      </c>
      <c r="B69" s="144">
        <v>0</v>
      </c>
      <c r="C69" s="144"/>
      <c r="D69" s="144"/>
      <c r="E69" s="144"/>
      <c r="F69" s="144"/>
      <c r="G69" s="144"/>
      <c r="H69" s="144"/>
      <c r="I69" s="144"/>
      <c r="J69" s="157"/>
    </row>
    <row r="70" spans="1:10" ht="14.25" x14ac:dyDescent="0.2">
      <c r="A70" s="154" t="s">
        <v>206</v>
      </c>
      <c r="B70" s="144">
        <v>0</v>
      </c>
      <c r="C70" s="144"/>
      <c r="D70" s="144"/>
      <c r="E70" s="144"/>
      <c r="F70" s="144"/>
      <c r="G70" s="144"/>
      <c r="H70" s="144"/>
      <c r="I70" s="144"/>
      <c r="J70" s="157"/>
    </row>
    <row r="71" spans="1:10" ht="14.25" x14ac:dyDescent="0.2">
      <c r="A71" s="144"/>
      <c r="B71" s="144"/>
      <c r="C71" s="144"/>
      <c r="D71" s="144"/>
      <c r="E71" s="154"/>
      <c r="F71" s="154"/>
      <c r="G71" s="144"/>
      <c r="H71" s="144"/>
      <c r="I71" s="144"/>
      <c r="J71" s="157"/>
    </row>
    <row r="72" spans="1:10" ht="14.25" x14ac:dyDescent="0.2">
      <c r="A72" s="144"/>
      <c r="B72" s="144"/>
      <c r="C72" s="144"/>
      <c r="D72" s="144"/>
      <c r="E72" s="144"/>
      <c r="F72" s="144"/>
      <c r="G72" s="144"/>
      <c r="H72" s="144"/>
      <c r="I72" s="144"/>
      <c r="J72" s="157"/>
    </row>
    <row r="73" spans="1:10" ht="14.25" x14ac:dyDescent="0.2">
      <c r="A73" s="144" t="s">
        <v>359</v>
      </c>
      <c r="B73" s="144">
        <f>8*B6</f>
        <v>20.512820512820515</v>
      </c>
      <c r="C73" s="144"/>
      <c r="D73" s="144"/>
      <c r="E73" s="144"/>
      <c r="F73" s="144"/>
      <c r="G73" s="144"/>
      <c r="H73" s="144"/>
      <c r="I73" s="144"/>
      <c r="J73" s="157"/>
    </row>
    <row r="74" spans="1:10" ht="15.75" x14ac:dyDescent="0.3">
      <c r="A74" s="144" t="s">
        <v>360</v>
      </c>
      <c r="B74" s="144">
        <f>0.7*TXBYTECLKHS</f>
        <v>14.358974358974359</v>
      </c>
      <c r="C74" s="144"/>
      <c r="D74" s="144"/>
      <c r="E74" s="144"/>
      <c r="F74" s="144"/>
      <c r="G74" s="144"/>
      <c r="H74" s="144"/>
      <c r="I74" s="144"/>
      <c r="J74" s="157"/>
    </row>
    <row r="75" spans="1:10" ht="14.25" x14ac:dyDescent="0.2">
      <c r="A75" s="144" t="s">
        <v>361</v>
      </c>
      <c r="B75" s="144">
        <f>11.5*UI</f>
        <v>29.487179487179489</v>
      </c>
      <c r="C75" s="144"/>
      <c r="D75" s="144"/>
      <c r="E75" s="144"/>
      <c r="F75" s="144"/>
      <c r="G75" s="144"/>
      <c r="H75" s="144"/>
      <c r="I75" s="144"/>
      <c r="J75" s="157"/>
    </row>
    <row r="76" spans="1:10" ht="14.25" x14ac:dyDescent="0.2">
      <c r="A76" s="144" t="s">
        <v>362</v>
      </c>
      <c r="B76" s="144">
        <v>5</v>
      </c>
      <c r="C76" s="144"/>
      <c r="D76" s="144"/>
      <c r="E76" s="144"/>
      <c r="F76" s="144"/>
      <c r="G76" s="144"/>
      <c r="H76" s="144"/>
      <c r="I76" s="144"/>
      <c r="J76" s="157"/>
    </row>
    <row r="77" spans="1:10" ht="14.25" x14ac:dyDescent="0.2">
      <c r="A77" s="144" t="s">
        <v>363</v>
      </c>
      <c r="B77" s="144">
        <v>5</v>
      </c>
      <c r="C77" s="144"/>
      <c r="D77" s="144"/>
      <c r="E77" s="144"/>
      <c r="F77" s="144"/>
      <c r="G77" s="144"/>
      <c r="H77" s="144"/>
      <c r="I77" s="144"/>
      <c r="J77" s="157"/>
    </row>
    <row r="78" spans="1:10" ht="14.25" x14ac:dyDescent="0.2">
      <c r="A78" s="144" t="s">
        <v>364</v>
      </c>
      <c r="B78" s="144">
        <v>35</v>
      </c>
      <c r="C78" s="144"/>
      <c r="D78" s="144"/>
      <c r="E78" s="144"/>
      <c r="F78" s="144"/>
      <c r="G78" s="144"/>
      <c r="H78" s="144"/>
      <c r="I78" s="144"/>
      <c r="J78" s="157"/>
    </row>
    <row r="79" spans="1:10" ht="14.25" x14ac:dyDescent="0.2">
      <c r="A79" s="144" t="s">
        <v>365</v>
      </c>
      <c r="B79" s="144">
        <v>25</v>
      </c>
      <c r="C79" s="144"/>
      <c r="D79" s="144"/>
      <c r="E79" s="144"/>
      <c r="F79" s="144"/>
      <c r="G79" s="144"/>
      <c r="H79" s="144"/>
      <c r="I79" s="144"/>
      <c r="J79" s="157"/>
    </row>
    <row r="80" spans="1:10" ht="27.75" x14ac:dyDescent="0.2">
      <c r="A80" s="155" t="s">
        <v>366</v>
      </c>
      <c r="B80" s="144">
        <f>IF(gtp_extension_clklane&gt;= 8, (TXBYTECLKHS/4+(gtp_extension_clklane-8)*TXBYTECLKHS/8), 0)</f>
        <v>10.256410256410257</v>
      </c>
      <c r="C80" s="144"/>
      <c r="D80" s="144"/>
      <c r="E80" s="144"/>
      <c r="F80" s="144"/>
      <c r="G80" s="144"/>
      <c r="H80" s="144"/>
      <c r="I80" s="144"/>
      <c r="J80" s="157"/>
    </row>
    <row r="81" spans="1:10" ht="27.75" x14ac:dyDescent="0.2">
      <c r="A81" s="155" t="s">
        <v>367</v>
      </c>
      <c r="B81" s="144">
        <f>IF(gtp_extension_datalane&gt;= 8, (TXBYTECLKHS/4+(gtp_extension_datalane-8)*TXBYTECLKHS/8), 0)</f>
        <v>5.1282051282051286</v>
      </c>
      <c r="C81" s="144"/>
      <c r="D81" s="144"/>
      <c r="E81" s="144"/>
      <c r="F81" s="144"/>
      <c r="G81" s="144"/>
      <c r="H81" s="144"/>
      <c r="I81" s="144"/>
      <c r="J81" s="157"/>
    </row>
    <row r="82" spans="1:10" ht="14.25" x14ac:dyDescent="0.2">
      <c r="A82" s="144" t="s">
        <v>368</v>
      </c>
      <c r="B82" s="144">
        <v>16</v>
      </c>
      <c r="C82" s="144"/>
      <c r="D82" s="144"/>
      <c r="E82" s="144"/>
      <c r="F82" s="144"/>
      <c r="G82" s="144"/>
      <c r="H82" s="144"/>
      <c r="I82" s="144"/>
      <c r="J82" s="157"/>
    </row>
    <row r="83" spans="1:10" ht="27.75" x14ac:dyDescent="0.2">
      <c r="A83" s="155" t="s">
        <v>369</v>
      </c>
      <c r="B83" s="144">
        <v>15</v>
      </c>
      <c r="C83" s="144"/>
      <c r="D83" s="144"/>
      <c r="E83" s="144"/>
      <c r="F83" s="144"/>
      <c r="G83" s="144"/>
      <c r="H83" s="144"/>
      <c r="I83" s="144"/>
      <c r="J83" s="157"/>
    </row>
  </sheetData>
  <mergeCells count="8">
    <mergeCell ref="J11:J12"/>
    <mergeCell ref="A33:I33"/>
    <mergeCell ref="A34:I34"/>
    <mergeCell ref="A35:I35"/>
    <mergeCell ref="B11:C11"/>
    <mergeCell ref="G11:G12"/>
    <mergeCell ref="H11:H12"/>
    <mergeCell ref="I11:I12"/>
  </mergeCells>
  <phoneticPr fontId="62" type="noConversion"/>
  <dataValidations count="1">
    <dataValidation type="list" allowBlank="1" showInputMessage="1" showErrorMessage="1" sqref="B5">
      <formula1>Y_N</formula1>
    </dataValidation>
  </dataValidations>
  <pageMargins left="0.7" right="0.7" top="0.75" bottom="0.75" header="0.3" footer="0.3"/>
  <pageSetup scale="25"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topLeftCell="D31" workbookViewId="0">
      <selection activeCell="S2" sqref="S2:S3"/>
    </sheetView>
  </sheetViews>
  <sheetFormatPr defaultRowHeight="12.75" x14ac:dyDescent="0.2"/>
  <cols>
    <col min="1" max="1" width="17" customWidth="1"/>
    <col min="3" max="3" width="26.7109375" customWidth="1"/>
    <col min="5" max="5" width="31.42578125" customWidth="1"/>
    <col min="7" max="7" width="35.28515625" customWidth="1"/>
  </cols>
  <sheetData>
    <row r="1" spans="1:19" x14ac:dyDescent="0.2">
      <c r="A1" s="14"/>
      <c r="B1" s="14"/>
      <c r="C1" s="14"/>
      <c r="D1" s="14"/>
      <c r="E1" s="14"/>
      <c r="F1" s="14"/>
      <c r="G1" s="14"/>
      <c r="H1" s="14"/>
      <c r="I1" s="14"/>
      <c r="J1" s="14"/>
      <c r="K1" s="14"/>
      <c r="L1" s="14"/>
      <c r="M1" s="4" t="s">
        <v>41</v>
      </c>
      <c r="N1" s="14"/>
      <c r="O1" s="4" t="s">
        <v>370</v>
      </c>
      <c r="P1" s="161">
        <f>'SDM439 DPHY timing'!B3</f>
        <v>390</v>
      </c>
      <c r="Q1" s="4"/>
      <c r="R1" s="4" t="s">
        <v>497</v>
      </c>
      <c r="S1" s="4">
        <f>LOOKUP("SELECT",N2:N64,M2:M64)</f>
        <v>23</v>
      </c>
    </row>
    <row r="2" spans="1:19" ht="14.25" x14ac:dyDescent="0.2">
      <c r="A2" s="4" t="s">
        <v>371</v>
      </c>
      <c r="B2" s="4" t="s">
        <v>372</v>
      </c>
      <c r="C2" s="4" t="s">
        <v>373</v>
      </c>
      <c r="D2" s="4" t="s">
        <v>374</v>
      </c>
      <c r="E2" s="4" t="s">
        <v>375</v>
      </c>
      <c r="F2" s="4" t="s">
        <v>376</v>
      </c>
      <c r="G2" s="4" t="s">
        <v>377</v>
      </c>
      <c r="H2" s="4" t="s">
        <v>372</v>
      </c>
      <c r="I2" s="4" t="s">
        <v>378</v>
      </c>
      <c r="J2" s="4" t="s">
        <v>379</v>
      </c>
      <c r="K2" s="4">
        <v>80</v>
      </c>
      <c r="L2" s="4" t="s">
        <v>97</v>
      </c>
      <c r="M2" s="4">
        <v>12</v>
      </c>
      <c r="N2" s="4" t="b">
        <f>IF($P$1&gt;=K2,IF($P$1&lt;K3,"SELECT"))</f>
        <v>0</v>
      </c>
      <c r="O2" s="14"/>
      <c r="P2" s="14"/>
      <c r="S2" s="164" t="s">
        <v>549</v>
      </c>
    </row>
    <row r="3" spans="1:19" ht="14.25" x14ac:dyDescent="0.2">
      <c r="A3" s="4" t="s">
        <v>380</v>
      </c>
      <c r="B3" s="4" t="s">
        <v>372</v>
      </c>
      <c r="C3" s="4" t="s">
        <v>373</v>
      </c>
      <c r="D3" s="4" t="s">
        <v>374</v>
      </c>
      <c r="E3" s="4" t="s">
        <v>375</v>
      </c>
      <c r="F3" s="4" t="s">
        <v>376</v>
      </c>
      <c r="G3" s="4" t="s">
        <v>377</v>
      </c>
      <c r="H3" s="4" t="s">
        <v>372</v>
      </c>
      <c r="I3" s="4" t="s">
        <v>381</v>
      </c>
      <c r="J3" s="4" t="s">
        <v>379</v>
      </c>
      <c r="K3" s="4">
        <v>90</v>
      </c>
      <c r="L3" s="4" t="s">
        <v>97</v>
      </c>
      <c r="M3" s="4">
        <v>12</v>
      </c>
      <c r="N3" s="4" t="b">
        <f t="shared" ref="N3:N64" si="0">IF($P$1&gt;=K3,IF($P$1&lt;K4,"SELECT"))</f>
        <v>0</v>
      </c>
      <c r="O3" s="14"/>
      <c r="P3" s="14"/>
      <c r="S3" s="164" t="s">
        <v>252</v>
      </c>
    </row>
    <row r="4" spans="1:19" x14ac:dyDescent="0.2">
      <c r="A4" s="4" t="s">
        <v>382</v>
      </c>
      <c r="B4" s="4" t="s">
        <v>372</v>
      </c>
      <c r="C4" s="4" t="s">
        <v>373</v>
      </c>
      <c r="D4" s="4" t="s">
        <v>374</v>
      </c>
      <c r="E4" s="4" t="s">
        <v>375</v>
      </c>
      <c r="F4" s="4" t="s">
        <v>376</v>
      </c>
      <c r="G4" s="4" t="s">
        <v>377</v>
      </c>
      <c r="H4" s="4" t="s">
        <v>372</v>
      </c>
      <c r="I4" s="4" t="s">
        <v>381</v>
      </c>
      <c r="J4" s="4" t="s">
        <v>379</v>
      </c>
      <c r="K4" s="4">
        <v>100</v>
      </c>
      <c r="L4" s="4" t="s">
        <v>97</v>
      </c>
      <c r="M4" s="4">
        <v>12</v>
      </c>
      <c r="N4" s="4" t="b">
        <f t="shared" si="0"/>
        <v>0</v>
      </c>
      <c r="O4" s="14"/>
      <c r="P4" s="14"/>
    </row>
    <row r="5" spans="1:19" x14ac:dyDescent="0.2">
      <c r="A5" s="4" t="s">
        <v>383</v>
      </c>
      <c r="B5" s="4" t="s">
        <v>372</v>
      </c>
      <c r="C5" s="4" t="s">
        <v>373</v>
      </c>
      <c r="D5" s="4" t="s">
        <v>374</v>
      </c>
      <c r="E5" s="4" t="s">
        <v>375</v>
      </c>
      <c r="F5" s="4" t="s">
        <v>376</v>
      </c>
      <c r="G5" s="4" t="s">
        <v>377</v>
      </c>
      <c r="H5" s="4" t="s">
        <v>372</v>
      </c>
      <c r="I5" s="4" t="s">
        <v>384</v>
      </c>
      <c r="J5" s="4" t="s">
        <v>379</v>
      </c>
      <c r="K5" s="4">
        <v>110</v>
      </c>
      <c r="L5" s="4" t="s">
        <v>97</v>
      </c>
      <c r="M5" s="4">
        <v>12</v>
      </c>
      <c r="N5" s="4" t="b">
        <f t="shared" si="0"/>
        <v>0</v>
      </c>
      <c r="O5" s="14"/>
      <c r="P5" s="14"/>
    </row>
    <row r="6" spans="1:19" x14ac:dyDescent="0.2">
      <c r="A6" s="4" t="s">
        <v>385</v>
      </c>
      <c r="B6" s="4" t="s">
        <v>372</v>
      </c>
      <c r="C6" s="4" t="s">
        <v>373</v>
      </c>
      <c r="D6" s="4" t="s">
        <v>374</v>
      </c>
      <c r="E6" s="4" t="s">
        <v>375</v>
      </c>
      <c r="F6" s="4" t="s">
        <v>376</v>
      </c>
      <c r="G6" s="4" t="s">
        <v>377</v>
      </c>
      <c r="H6" s="4" t="s">
        <v>372</v>
      </c>
      <c r="I6" s="4" t="s">
        <v>386</v>
      </c>
      <c r="J6" s="4" t="s">
        <v>379</v>
      </c>
      <c r="K6" s="4">
        <v>120</v>
      </c>
      <c r="L6" s="4" t="s">
        <v>97</v>
      </c>
      <c r="M6" s="4">
        <v>12</v>
      </c>
      <c r="N6" s="4" t="b">
        <f t="shared" si="0"/>
        <v>0</v>
      </c>
      <c r="O6" s="14"/>
      <c r="P6" s="14"/>
    </row>
    <row r="7" spans="1:19" x14ac:dyDescent="0.2">
      <c r="A7" s="4" t="s">
        <v>387</v>
      </c>
      <c r="B7" s="4" t="s">
        <v>372</v>
      </c>
      <c r="C7" s="4" t="s">
        <v>373</v>
      </c>
      <c r="D7" s="4" t="s">
        <v>374</v>
      </c>
      <c r="E7" s="4" t="s">
        <v>375</v>
      </c>
      <c r="F7" s="4" t="s">
        <v>376</v>
      </c>
      <c r="G7" s="4" t="s">
        <v>377</v>
      </c>
      <c r="H7" s="4" t="s">
        <v>372</v>
      </c>
      <c r="I7" s="4" t="s">
        <v>386</v>
      </c>
      <c r="J7" s="4" t="s">
        <v>379</v>
      </c>
      <c r="K7" s="4">
        <v>130</v>
      </c>
      <c r="L7" s="4" t="s">
        <v>97</v>
      </c>
      <c r="M7" s="4">
        <v>12</v>
      </c>
      <c r="N7" s="4" t="b">
        <f t="shared" si="0"/>
        <v>0</v>
      </c>
      <c r="O7" s="14"/>
      <c r="P7" s="14"/>
    </row>
    <row r="8" spans="1:19" x14ac:dyDescent="0.2">
      <c r="A8" s="4" t="s">
        <v>388</v>
      </c>
      <c r="B8" s="4" t="s">
        <v>372</v>
      </c>
      <c r="C8" s="4" t="s">
        <v>373</v>
      </c>
      <c r="D8" s="4" t="s">
        <v>374</v>
      </c>
      <c r="E8" s="4" t="s">
        <v>375</v>
      </c>
      <c r="F8" s="4" t="s">
        <v>376</v>
      </c>
      <c r="G8" s="4" t="s">
        <v>377</v>
      </c>
      <c r="H8" s="4" t="s">
        <v>372</v>
      </c>
      <c r="I8" s="4" t="s">
        <v>389</v>
      </c>
      <c r="J8" s="4" t="s">
        <v>379</v>
      </c>
      <c r="K8" s="4">
        <v>140</v>
      </c>
      <c r="L8" s="4" t="s">
        <v>97</v>
      </c>
      <c r="M8" s="4">
        <v>12</v>
      </c>
      <c r="N8" s="4" t="b">
        <f t="shared" si="0"/>
        <v>0</v>
      </c>
      <c r="O8" s="14"/>
      <c r="P8" s="14"/>
    </row>
    <row r="9" spans="1:19" x14ac:dyDescent="0.2">
      <c r="A9" s="4" t="s">
        <v>390</v>
      </c>
      <c r="B9" s="4" t="s">
        <v>372</v>
      </c>
      <c r="C9" s="4" t="s">
        <v>373</v>
      </c>
      <c r="D9" s="4" t="s">
        <v>374</v>
      </c>
      <c r="E9" s="4" t="s">
        <v>375</v>
      </c>
      <c r="F9" s="4" t="s">
        <v>376</v>
      </c>
      <c r="G9" s="4" t="s">
        <v>377</v>
      </c>
      <c r="H9" s="4" t="s">
        <v>372</v>
      </c>
      <c r="I9" s="4" t="s">
        <v>391</v>
      </c>
      <c r="J9" s="4" t="s">
        <v>379</v>
      </c>
      <c r="K9" s="4">
        <v>150</v>
      </c>
      <c r="L9" s="4" t="s">
        <v>97</v>
      </c>
      <c r="M9" s="4">
        <v>12</v>
      </c>
      <c r="N9" s="4" t="b">
        <f t="shared" si="0"/>
        <v>0</v>
      </c>
      <c r="O9" s="14"/>
      <c r="P9" s="14"/>
    </row>
    <row r="10" spans="1:19" x14ac:dyDescent="0.2">
      <c r="A10" s="4" t="s">
        <v>392</v>
      </c>
      <c r="B10" s="4" t="s">
        <v>372</v>
      </c>
      <c r="C10" s="4" t="s">
        <v>373</v>
      </c>
      <c r="D10" s="4" t="s">
        <v>374</v>
      </c>
      <c r="E10" s="4" t="s">
        <v>375</v>
      </c>
      <c r="F10" s="4" t="s">
        <v>376</v>
      </c>
      <c r="G10" s="4" t="s">
        <v>377</v>
      </c>
      <c r="H10" s="4" t="s">
        <v>372</v>
      </c>
      <c r="I10" s="4" t="s">
        <v>391</v>
      </c>
      <c r="J10" s="4" t="s">
        <v>379</v>
      </c>
      <c r="K10" s="4">
        <v>160</v>
      </c>
      <c r="L10" s="4" t="s">
        <v>97</v>
      </c>
      <c r="M10" s="4">
        <v>12</v>
      </c>
      <c r="N10" s="4" t="b">
        <f t="shared" si="0"/>
        <v>0</v>
      </c>
      <c r="O10" s="14"/>
      <c r="P10" s="14"/>
    </row>
    <row r="11" spans="1:19" x14ac:dyDescent="0.2">
      <c r="A11" s="4" t="s">
        <v>393</v>
      </c>
      <c r="B11" s="4" t="s">
        <v>372</v>
      </c>
      <c r="C11" s="4" t="s">
        <v>373</v>
      </c>
      <c r="D11" s="4" t="s">
        <v>374</v>
      </c>
      <c r="E11" s="4" t="s">
        <v>375</v>
      </c>
      <c r="F11" s="4" t="s">
        <v>376</v>
      </c>
      <c r="G11" s="4" t="s">
        <v>377</v>
      </c>
      <c r="H11" s="4" t="s">
        <v>372</v>
      </c>
      <c r="I11" s="4" t="s">
        <v>394</v>
      </c>
      <c r="J11" s="4" t="s">
        <v>379</v>
      </c>
      <c r="K11" s="4">
        <v>170</v>
      </c>
      <c r="L11" s="4" t="s">
        <v>97</v>
      </c>
      <c r="M11" s="4">
        <v>12</v>
      </c>
      <c r="N11" s="4" t="b">
        <f t="shared" si="0"/>
        <v>0</v>
      </c>
      <c r="O11" s="14"/>
      <c r="P11" s="14"/>
    </row>
    <row r="12" spans="1:19" x14ac:dyDescent="0.2">
      <c r="A12" s="4" t="s">
        <v>395</v>
      </c>
      <c r="B12" s="4" t="s">
        <v>372</v>
      </c>
      <c r="C12" s="4" t="s">
        <v>373</v>
      </c>
      <c r="D12" s="4" t="s">
        <v>374</v>
      </c>
      <c r="E12" s="4" t="s">
        <v>375</v>
      </c>
      <c r="F12" s="4" t="s">
        <v>376</v>
      </c>
      <c r="G12" s="4" t="s">
        <v>377</v>
      </c>
      <c r="H12" s="4" t="s">
        <v>372</v>
      </c>
      <c r="I12" s="4" t="s">
        <v>394</v>
      </c>
      <c r="J12" s="4" t="s">
        <v>379</v>
      </c>
      <c r="K12" s="4">
        <v>180</v>
      </c>
      <c r="L12" s="4" t="s">
        <v>97</v>
      </c>
      <c r="M12" s="4">
        <v>12</v>
      </c>
      <c r="N12" s="4" t="b">
        <f t="shared" si="0"/>
        <v>0</v>
      </c>
      <c r="O12" s="14"/>
      <c r="P12" s="14"/>
    </row>
    <row r="13" spans="1:19" x14ac:dyDescent="0.2">
      <c r="A13" s="4" t="s">
        <v>396</v>
      </c>
      <c r="B13" s="4" t="s">
        <v>372</v>
      </c>
      <c r="C13" s="4" t="s">
        <v>373</v>
      </c>
      <c r="D13" s="4" t="s">
        <v>374</v>
      </c>
      <c r="E13" s="4" t="s">
        <v>375</v>
      </c>
      <c r="F13" s="4" t="s">
        <v>376</v>
      </c>
      <c r="G13" s="4" t="s">
        <v>377</v>
      </c>
      <c r="H13" s="4" t="s">
        <v>372</v>
      </c>
      <c r="I13" s="4" t="s">
        <v>397</v>
      </c>
      <c r="J13" s="4" t="s">
        <v>379</v>
      </c>
      <c r="K13" s="4">
        <v>190</v>
      </c>
      <c r="L13" s="4" t="s">
        <v>97</v>
      </c>
      <c r="M13" s="4">
        <v>12</v>
      </c>
      <c r="N13" s="4" t="b">
        <f t="shared" si="0"/>
        <v>0</v>
      </c>
      <c r="O13" s="14"/>
      <c r="P13" s="14"/>
    </row>
    <row r="14" spans="1:19" x14ac:dyDescent="0.2">
      <c r="A14" s="4" t="s">
        <v>398</v>
      </c>
      <c r="B14" s="4" t="s">
        <v>372</v>
      </c>
      <c r="C14" s="4" t="s">
        <v>373</v>
      </c>
      <c r="D14" s="4" t="s">
        <v>374</v>
      </c>
      <c r="E14" s="4" t="s">
        <v>375</v>
      </c>
      <c r="F14" s="4" t="s">
        <v>376</v>
      </c>
      <c r="G14" s="4" t="s">
        <v>377</v>
      </c>
      <c r="H14" s="4" t="s">
        <v>372</v>
      </c>
      <c r="I14" s="4" t="s">
        <v>399</v>
      </c>
      <c r="J14" s="4" t="s">
        <v>379</v>
      </c>
      <c r="K14" s="4">
        <v>205</v>
      </c>
      <c r="L14" s="4" t="s">
        <v>97</v>
      </c>
      <c r="M14" s="4">
        <f>_xlfn.NUMBERVALUE(MID(I14,4,2))</f>
        <v>12</v>
      </c>
      <c r="N14" s="4" t="b">
        <f t="shared" si="0"/>
        <v>0</v>
      </c>
      <c r="O14" s="14"/>
      <c r="P14" s="14"/>
    </row>
    <row r="15" spans="1:19" x14ac:dyDescent="0.2">
      <c r="A15" s="4" t="s">
        <v>400</v>
      </c>
      <c r="B15" s="4" t="s">
        <v>372</v>
      </c>
      <c r="C15" s="4" t="s">
        <v>373</v>
      </c>
      <c r="D15" s="4" t="s">
        <v>374</v>
      </c>
      <c r="E15" s="4" t="s">
        <v>375</v>
      </c>
      <c r="F15" s="4" t="s">
        <v>376</v>
      </c>
      <c r="G15" s="4" t="s">
        <v>377</v>
      </c>
      <c r="H15" s="4" t="s">
        <v>372</v>
      </c>
      <c r="I15" s="4" t="s">
        <v>401</v>
      </c>
      <c r="J15" s="4" t="s">
        <v>379</v>
      </c>
      <c r="K15" s="4">
        <v>220</v>
      </c>
      <c r="L15" s="4" t="s">
        <v>97</v>
      </c>
      <c r="M15" s="4">
        <f t="shared" ref="M15:M64" si="1">_xlfn.NUMBERVALUE(MID(I15,4,2))</f>
        <v>13</v>
      </c>
      <c r="N15" s="4" t="b">
        <f t="shared" si="0"/>
        <v>0</v>
      </c>
      <c r="O15" s="14"/>
      <c r="P15" s="14"/>
    </row>
    <row r="16" spans="1:19" x14ac:dyDescent="0.2">
      <c r="A16" s="4" t="s">
        <v>402</v>
      </c>
      <c r="B16" s="4" t="s">
        <v>372</v>
      </c>
      <c r="C16" s="4" t="s">
        <v>373</v>
      </c>
      <c r="D16" s="4" t="s">
        <v>374</v>
      </c>
      <c r="E16" s="4" t="s">
        <v>375</v>
      </c>
      <c r="F16" s="4" t="s">
        <v>376</v>
      </c>
      <c r="G16" s="4" t="s">
        <v>377</v>
      </c>
      <c r="H16" s="4" t="s">
        <v>372</v>
      </c>
      <c r="I16" s="4" t="s">
        <v>403</v>
      </c>
      <c r="J16" s="4" t="s">
        <v>379</v>
      </c>
      <c r="K16" s="4">
        <v>235</v>
      </c>
      <c r="L16" s="4" t="s">
        <v>97</v>
      </c>
      <c r="M16" s="4">
        <f t="shared" si="1"/>
        <v>14</v>
      </c>
      <c r="N16" s="4" t="b">
        <f t="shared" si="0"/>
        <v>0</v>
      </c>
      <c r="O16" s="14"/>
      <c r="P16" s="14"/>
    </row>
    <row r="17" spans="1:16" x14ac:dyDescent="0.2">
      <c r="A17" s="4" t="s">
        <v>404</v>
      </c>
      <c r="B17" s="4" t="s">
        <v>372</v>
      </c>
      <c r="C17" s="4" t="s">
        <v>373</v>
      </c>
      <c r="D17" s="4" t="s">
        <v>374</v>
      </c>
      <c r="E17" s="4" t="s">
        <v>375</v>
      </c>
      <c r="F17" s="4" t="s">
        <v>376</v>
      </c>
      <c r="G17" s="4" t="s">
        <v>377</v>
      </c>
      <c r="H17" s="4" t="s">
        <v>372</v>
      </c>
      <c r="I17" s="4" t="s">
        <v>405</v>
      </c>
      <c r="J17" s="4" t="s">
        <v>379</v>
      </c>
      <c r="K17" s="4">
        <v>250</v>
      </c>
      <c r="L17" s="4" t="s">
        <v>97</v>
      </c>
      <c r="M17" s="4">
        <f t="shared" si="1"/>
        <v>16</v>
      </c>
      <c r="N17" s="4" t="b">
        <f t="shared" si="0"/>
        <v>0</v>
      </c>
      <c r="O17" s="14"/>
      <c r="P17" s="14"/>
    </row>
    <row r="18" spans="1:16" x14ac:dyDescent="0.2">
      <c r="A18" s="4" t="s">
        <v>406</v>
      </c>
      <c r="B18" s="4" t="s">
        <v>372</v>
      </c>
      <c r="C18" s="4" t="s">
        <v>373</v>
      </c>
      <c r="D18" s="4" t="s">
        <v>374</v>
      </c>
      <c r="E18" s="4" t="s">
        <v>375</v>
      </c>
      <c r="F18" s="4" t="s">
        <v>376</v>
      </c>
      <c r="G18" s="4" t="s">
        <v>377</v>
      </c>
      <c r="H18" s="4" t="s">
        <v>372</v>
      </c>
      <c r="I18" s="4" t="s">
        <v>407</v>
      </c>
      <c r="J18" s="4" t="s">
        <v>379</v>
      </c>
      <c r="K18" s="4">
        <v>275</v>
      </c>
      <c r="L18" s="4" t="s">
        <v>97</v>
      </c>
      <c r="M18" s="4">
        <f t="shared" si="1"/>
        <v>17</v>
      </c>
      <c r="N18" s="4" t="b">
        <f t="shared" si="0"/>
        <v>0</v>
      </c>
      <c r="O18" s="14"/>
      <c r="P18" s="14"/>
    </row>
    <row r="19" spans="1:16" x14ac:dyDescent="0.2">
      <c r="A19" s="4" t="s">
        <v>408</v>
      </c>
      <c r="B19" s="4" t="s">
        <v>372</v>
      </c>
      <c r="C19" s="4" t="s">
        <v>373</v>
      </c>
      <c r="D19" s="4" t="s">
        <v>374</v>
      </c>
      <c r="E19" s="4" t="s">
        <v>375</v>
      </c>
      <c r="F19" s="4" t="s">
        <v>376</v>
      </c>
      <c r="G19" s="4" t="s">
        <v>377</v>
      </c>
      <c r="H19" s="4" t="s">
        <v>372</v>
      </c>
      <c r="I19" s="4" t="s">
        <v>409</v>
      </c>
      <c r="J19" s="4" t="s">
        <v>379</v>
      </c>
      <c r="K19" s="4">
        <v>300</v>
      </c>
      <c r="L19" s="4" t="s">
        <v>97</v>
      </c>
      <c r="M19" s="4">
        <f t="shared" si="1"/>
        <v>19</v>
      </c>
      <c r="N19" s="4" t="b">
        <f t="shared" si="0"/>
        <v>0</v>
      </c>
      <c r="O19" s="14"/>
      <c r="P19" s="14"/>
    </row>
    <row r="20" spans="1:16" x14ac:dyDescent="0.2">
      <c r="A20" s="4" t="s">
        <v>410</v>
      </c>
      <c r="B20" s="4" t="s">
        <v>372</v>
      </c>
      <c r="C20" s="4" t="s">
        <v>373</v>
      </c>
      <c r="D20" s="4" t="s">
        <v>374</v>
      </c>
      <c r="E20" s="4" t="s">
        <v>375</v>
      </c>
      <c r="F20" s="4" t="s">
        <v>376</v>
      </c>
      <c r="G20" s="4" t="s">
        <v>377</v>
      </c>
      <c r="H20" s="4" t="s">
        <v>372</v>
      </c>
      <c r="I20" s="4" t="s">
        <v>411</v>
      </c>
      <c r="J20" s="4" t="s">
        <v>379</v>
      </c>
      <c r="K20" s="4">
        <v>325</v>
      </c>
      <c r="L20" s="4" t="s">
        <v>97</v>
      </c>
      <c r="M20" s="4">
        <f t="shared" si="1"/>
        <v>21</v>
      </c>
      <c r="N20" s="4" t="b">
        <f t="shared" si="0"/>
        <v>0</v>
      </c>
      <c r="O20" s="14"/>
      <c r="P20" s="14"/>
    </row>
    <row r="21" spans="1:16" x14ac:dyDescent="0.2">
      <c r="A21" s="4" t="s">
        <v>412</v>
      </c>
      <c r="B21" s="4" t="s">
        <v>372</v>
      </c>
      <c r="C21" s="4" t="s">
        <v>373</v>
      </c>
      <c r="D21" s="4" t="s">
        <v>374</v>
      </c>
      <c r="E21" s="4" t="s">
        <v>375</v>
      </c>
      <c r="F21" s="4" t="s">
        <v>376</v>
      </c>
      <c r="G21" s="4" t="s">
        <v>377</v>
      </c>
      <c r="H21" s="4" t="s">
        <v>372</v>
      </c>
      <c r="I21" s="4" t="s">
        <v>413</v>
      </c>
      <c r="J21" s="4" t="s">
        <v>379</v>
      </c>
      <c r="K21" s="4">
        <v>350</v>
      </c>
      <c r="L21" s="4" t="s">
        <v>97</v>
      </c>
      <c r="M21" s="4">
        <f t="shared" si="1"/>
        <v>23</v>
      </c>
      <c r="N21" s="4" t="str">
        <f t="shared" si="0"/>
        <v>SELECT</v>
      </c>
      <c r="O21" s="14"/>
      <c r="P21" s="14"/>
    </row>
    <row r="22" spans="1:16" x14ac:dyDescent="0.2">
      <c r="A22" s="4" t="s">
        <v>414</v>
      </c>
      <c r="B22" s="4" t="s">
        <v>372</v>
      </c>
      <c r="C22" s="4" t="s">
        <v>373</v>
      </c>
      <c r="D22" s="4" t="s">
        <v>374</v>
      </c>
      <c r="E22" s="4" t="s">
        <v>375</v>
      </c>
      <c r="F22" s="4" t="s">
        <v>376</v>
      </c>
      <c r="G22" s="4" t="s">
        <v>377</v>
      </c>
      <c r="H22" s="4" t="s">
        <v>372</v>
      </c>
      <c r="I22" s="4" t="s">
        <v>415</v>
      </c>
      <c r="J22" s="4" t="s">
        <v>379</v>
      </c>
      <c r="K22" s="4">
        <v>400</v>
      </c>
      <c r="L22" s="4" t="s">
        <v>97</v>
      </c>
      <c r="M22" s="4">
        <f t="shared" si="1"/>
        <v>26</v>
      </c>
      <c r="N22" s="4" t="b">
        <f t="shared" si="0"/>
        <v>0</v>
      </c>
      <c r="O22" s="14"/>
      <c r="P22" s="14"/>
    </row>
    <row r="23" spans="1:16" x14ac:dyDescent="0.2">
      <c r="A23" s="4" t="s">
        <v>416</v>
      </c>
      <c r="B23" s="4" t="s">
        <v>372</v>
      </c>
      <c r="C23" s="4" t="s">
        <v>373</v>
      </c>
      <c r="D23" s="4" t="s">
        <v>374</v>
      </c>
      <c r="E23" s="4" t="s">
        <v>375</v>
      </c>
      <c r="F23" s="4" t="s">
        <v>376</v>
      </c>
      <c r="G23" s="4" t="s">
        <v>377</v>
      </c>
      <c r="H23" s="4" t="s">
        <v>372</v>
      </c>
      <c r="I23" s="4" t="s">
        <v>417</v>
      </c>
      <c r="J23" s="4" t="s">
        <v>379</v>
      </c>
      <c r="K23" s="4">
        <v>450</v>
      </c>
      <c r="L23" s="4" t="s">
        <v>97</v>
      </c>
      <c r="M23" s="4">
        <f t="shared" si="1"/>
        <v>30</v>
      </c>
      <c r="N23" s="4" t="b">
        <f t="shared" si="0"/>
        <v>0</v>
      </c>
      <c r="O23" s="14"/>
      <c r="P23" s="14"/>
    </row>
    <row r="24" spans="1:16" x14ac:dyDescent="0.2">
      <c r="A24" s="4" t="s">
        <v>418</v>
      </c>
      <c r="B24" s="4" t="s">
        <v>372</v>
      </c>
      <c r="C24" s="4" t="s">
        <v>373</v>
      </c>
      <c r="D24" s="4" t="s">
        <v>374</v>
      </c>
      <c r="E24" s="4" t="s">
        <v>375</v>
      </c>
      <c r="F24" s="4" t="s">
        <v>376</v>
      </c>
      <c r="G24" s="4" t="s">
        <v>377</v>
      </c>
      <c r="H24" s="4" t="s">
        <v>372</v>
      </c>
      <c r="I24" s="4" t="s">
        <v>419</v>
      </c>
      <c r="J24" s="4" t="s">
        <v>379</v>
      </c>
      <c r="K24" s="4">
        <v>500</v>
      </c>
      <c r="L24" s="4" t="s">
        <v>97</v>
      </c>
      <c r="M24" s="4">
        <f t="shared" si="1"/>
        <v>33</v>
      </c>
      <c r="N24" s="4" t="b">
        <f t="shared" si="0"/>
        <v>0</v>
      </c>
      <c r="O24" s="14"/>
      <c r="P24" s="14"/>
    </row>
    <row r="25" spans="1:16" x14ac:dyDescent="0.2">
      <c r="A25" s="4" t="s">
        <v>420</v>
      </c>
      <c r="B25" s="4" t="s">
        <v>372</v>
      </c>
      <c r="C25" s="4" t="s">
        <v>373</v>
      </c>
      <c r="D25" s="4" t="s">
        <v>374</v>
      </c>
      <c r="E25" s="4" t="s">
        <v>375</v>
      </c>
      <c r="F25" s="4" t="s">
        <v>376</v>
      </c>
      <c r="G25" s="4" t="s">
        <v>377</v>
      </c>
      <c r="H25" s="4" t="s">
        <v>372</v>
      </c>
      <c r="I25" s="4" t="s">
        <v>421</v>
      </c>
      <c r="J25" s="4" t="s">
        <v>379</v>
      </c>
      <c r="K25" s="4">
        <v>550</v>
      </c>
      <c r="L25" s="4" t="s">
        <v>97</v>
      </c>
      <c r="M25" s="4">
        <f t="shared" si="1"/>
        <v>36</v>
      </c>
      <c r="N25" s="4" t="b">
        <f t="shared" si="0"/>
        <v>0</v>
      </c>
      <c r="O25" s="14"/>
      <c r="P25" s="14"/>
    </row>
    <row r="26" spans="1:16" x14ac:dyDescent="0.2">
      <c r="A26" s="4" t="s">
        <v>422</v>
      </c>
      <c r="B26" s="4" t="s">
        <v>372</v>
      </c>
      <c r="C26" s="4" t="s">
        <v>373</v>
      </c>
      <c r="D26" s="4" t="s">
        <v>374</v>
      </c>
      <c r="E26" s="4" t="s">
        <v>375</v>
      </c>
      <c r="F26" s="4" t="s">
        <v>376</v>
      </c>
      <c r="G26" s="4" t="s">
        <v>377</v>
      </c>
      <c r="H26" s="4" t="s">
        <v>372</v>
      </c>
      <c r="I26" s="4" t="s">
        <v>423</v>
      </c>
      <c r="J26" s="4" t="s">
        <v>379</v>
      </c>
      <c r="K26" s="4">
        <v>600</v>
      </c>
      <c r="L26" s="4" t="s">
        <v>97</v>
      </c>
      <c r="M26" s="4">
        <f t="shared" si="1"/>
        <v>40</v>
      </c>
      <c r="N26" s="4" t="b">
        <f t="shared" si="0"/>
        <v>0</v>
      </c>
      <c r="O26" s="14"/>
      <c r="P26" s="14"/>
    </row>
    <row r="27" spans="1:16" x14ac:dyDescent="0.2">
      <c r="A27" s="4" t="s">
        <v>424</v>
      </c>
      <c r="B27" s="4" t="s">
        <v>372</v>
      </c>
      <c r="C27" s="4" t="s">
        <v>373</v>
      </c>
      <c r="D27" s="4" t="s">
        <v>374</v>
      </c>
      <c r="E27" s="4" t="s">
        <v>375</v>
      </c>
      <c r="F27" s="4" t="s">
        <v>376</v>
      </c>
      <c r="G27" s="4" t="s">
        <v>377</v>
      </c>
      <c r="H27" s="4" t="s">
        <v>372</v>
      </c>
      <c r="I27" s="4" t="s">
        <v>425</v>
      </c>
      <c r="J27" s="4" t="s">
        <v>379</v>
      </c>
      <c r="K27" s="4">
        <v>650</v>
      </c>
      <c r="L27" s="4" t="s">
        <v>97</v>
      </c>
      <c r="M27" s="4">
        <f t="shared" si="1"/>
        <v>43</v>
      </c>
      <c r="N27" s="4" t="b">
        <f t="shared" si="0"/>
        <v>0</v>
      </c>
      <c r="O27" s="14"/>
      <c r="P27" s="14"/>
    </row>
    <row r="28" spans="1:16" x14ac:dyDescent="0.2">
      <c r="A28" s="4" t="s">
        <v>426</v>
      </c>
      <c r="B28" s="4" t="s">
        <v>372</v>
      </c>
      <c r="C28" s="4" t="s">
        <v>373</v>
      </c>
      <c r="D28" s="4" t="s">
        <v>374</v>
      </c>
      <c r="E28" s="4" t="s">
        <v>375</v>
      </c>
      <c r="F28" s="4" t="s">
        <v>376</v>
      </c>
      <c r="G28" s="4" t="s">
        <v>377</v>
      </c>
      <c r="H28" s="4" t="s">
        <v>372</v>
      </c>
      <c r="I28" s="4" t="s">
        <v>427</v>
      </c>
      <c r="J28" s="4" t="s">
        <v>379</v>
      </c>
      <c r="K28" s="4">
        <v>700</v>
      </c>
      <c r="L28" s="4" t="s">
        <v>97</v>
      </c>
      <c r="M28" s="4">
        <f t="shared" si="1"/>
        <v>46</v>
      </c>
      <c r="N28" s="4" t="b">
        <f t="shared" si="0"/>
        <v>0</v>
      </c>
      <c r="O28" s="14"/>
      <c r="P28" s="14"/>
    </row>
    <row r="29" spans="1:16" x14ac:dyDescent="0.2">
      <c r="A29" s="4" t="s">
        <v>428</v>
      </c>
      <c r="B29" s="4" t="s">
        <v>372</v>
      </c>
      <c r="C29" s="4" t="s">
        <v>373</v>
      </c>
      <c r="D29" s="4" t="s">
        <v>374</v>
      </c>
      <c r="E29" s="4" t="s">
        <v>375</v>
      </c>
      <c r="F29" s="4" t="s">
        <v>376</v>
      </c>
      <c r="G29" s="4" t="s">
        <v>377</v>
      </c>
      <c r="H29" s="4" t="s">
        <v>372</v>
      </c>
      <c r="I29" s="4" t="s">
        <v>429</v>
      </c>
      <c r="J29" s="4" t="s">
        <v>379</v>
      </c>
      <c r="K29" s="4">
        <v>750</v>
      </c>
      <c r="L29" s="4" t="s">
        <v>97</v>
      </c>
      <c r="M29" s="4">
        <f t="shared" si="1"/>
        <v>49</v>
      </c>
      <c r="N29" s="4" t="b">
        <f t="shared" si="0"/>
        <v>0</v>
      </c>
      <c r="O29" s="14"/>
      <c r="P29" s="14"/>
    </row>
    <row r="30" spans="1:16" x14ac:dyDescent="0.2">
      <c r="A30" s="4" t="s">
        <v>430</v>
      </c>
      <c r="B30" s="4" t="s">
        <v>372</v>
      </c>
      <c r="C30" s="4" t="s">
        <v>373</v>
      </c>
      <c r="D30" s="4" t="s">
        <v>374</v>
      </c>
      <c r="E30" s="4" t="s">
        <v>375</v>
      </c>
      <c r="F30" s="4" t="s">
        <v>376</v>
      </c>
      <c r="G30" s="4" t="s">
        <v>377</v>
      </c>
      <c r="H30" s="4" t="s">
        <v>372</v>
      </c>
      <c r="I30" s="4" t="s">
        <v>431</v>
      </c>
      <c r="J30" s="4" t="s">
        <v>379</v>
      </c>
      <c r="K30" s="4">
        <v>800</v>
      </c>
      <c r="L30" s="4" t="s">
        <v>97</v>
      </c>
      <c r="M30" s="4">
        <f t="shared" si="1"/>
        <v>53</v>
      </c>
      <c r="N30" s="4" t="b">
        <f t="shared" si="0"/>
        <v>0</v>
      </c>
      <c r="O30" s="14"/>
      <c r="P30" s="14"/>
    </row>
    <row r="31" spans="1:16" x14ac:dyDescent="0.2">
      <c r="A31" s="4" t="s">
        <v>432</v>
      </c>
      <c r="B31" s="4" t="s">
        <v>372</v>
      </c>
      <c r="C31" s="4" t="s">
        <v>373</v>
      </c>
      <c r="D31" s="4" t="s">
        <v>374</v>
      </c>
      <c r="E31" s="4" t="s">
        <v>375</v>
      </c>
      <c r="F31" s="4" t="s">
        <v>376</v>
      </c>
      <c r="G31" s="4" t="s">
        <v>377</v>
      </c>
      <c r="H31" s="4" t="s">
        <v>372</v>
      </c>
      <c r="I31" s="4" t="s">
        <v>433</v>
      </c>
      <c r="J31" s="4" t="s">
        <v>379</v>
      </c>
      <c r="K31" s="4">
        <v>850</v>
      </c>
      <c r="L31" s="4" t="s">
        <v>97</v>
      </c>
      <c r="M31" s="4">
        <f t="shared" si="1"/>
        <v>56</v>
      </c>
      <c r="N31" s="4" t="b">
        <f t="shared" si="0"/>
        <v>0</v>
      </c>
      <c r="O31" s="14"/>
      <c r="P31" s="14"/>
    </row>
    <row r="32" spans="1:16" x14ac:dyDescent="0.2">
      <c r="A32" s="4" t="s">
        <v>434</v>
      </c>
      <c r="B32" s="4" t="s">
        <v>372</v>
      </c>
      <c r="C32" s="4" t="s">
        <v>373</v>
      </c>
      <c r="D32" s="4" t="s">
        <v>374</v>
      </c>
      <c r="E32" s="4" t="s">
        <v>375</v>
      </c>
      <c r="F32" s="4" t="s">
        <v>376</v>
      </c>
      <c r="G32" s="4" t="s">
        <v>377</v>
      </c>
      <c r="H32" s="4" t="s">
        <v>372</v>
      </c>
      <c r="I32" s="4" t="s">
        <v>435</v>
      </c>
      <c r="J32" s="4" t="s">
        <v>379</v>
      </c>
      <c r="K32" s="4">
        <v>900</v>
      </c>
      <c r="L32" s="4" t="s">
        <v>97</v>
      </c>
      <c r="M32" s="4">
        <f t="shared" si="1"/>
        <v>59</v>
      </c>
      <c r="N32" s="4" t="b">
        <f t="shared" si="0"/>
        <v>0</v>
      </c>
      <c r="O32" s="14"/>
      <c r="P32" s="14"/>
    </row>
    <row r="33" spans="1:16" x14ac:dyDescent="0.2">
      <c r="A33" s="4" t="s">
        <v>436</v>
      </c>
      <c r="B33" s="4" t="s">
        <v>372</v>
      </c>
      <c r="C33" s="4" t="s">
        <v>373</v>
      </c>
      <c r="D33" s="4" t="s">
        <v>374</v>
      </c>
      <c r="E33" s="4" t="s">
        <v>375</v>
      </c>
      <c r="F33" s="4" t="s">
        <v>376</v>
      </c>
      <c r="G33" s="4" t="s">
        <v>377</v>
      </c>
      <c r="H33" s="4" t="s">
        <v>372</v>
      </c>
      <c r="I33" s="4" t="s">
        <v>437</v>
      </c>
      <c r="J33" s="4" t="s">
        <v>379</v>
      </c>
      <c r="K33" s="4">
        <v>950</v>
      </c>
      <c r="L33" s="4" t="s">
        <v>97</v>
      </c>
      <c r="M33" s="4">
        <f t="shared" si="1"/>
        <v>62</v>
      </c>
      <c r="N33" s="4" t="b">
        <f t="shared" si="0"/>
        <v>0</v>
      </c>
      <c r="O33" s="14"/>
      <c r="P33" s="14"/>
    </row>
    <row r="34" spans="1:16" x14ac:dyDescent="0.2">
      <c r="A34" s="4" t="s">
        <v>438</v>
      </c>
      <c r="B34" s="4" t="s">
        <v>372</v>
      </c>
      <c r="C34" s="4" t="s">
        <v>373</v>
      </c>
      <c r="D34" s="4" t="s">
        <v>374</v>
      </c>
      <c r="E34" s="4" t="s">
        <v>375</v>
      </c>
      <c r="F34" s="4" t="s">
        <v>376</v>
      </c>
      <c r="G34" s="4" t="s">
        <v>377</v>
      </c>
      <c r="H34" s="4" t="s">
        <v>372</v>
      </c>
      <c r="I34" s="4" t="s">
        <v>439</v>
      </c>
      <c r="J34" s="4" t="s">
        <v>379</v>
      </c>
      <c r="K34" s="4">
        <v>1000</v>
      </c>
      <c r="L34" s="4" t="s">
        <v>97</v>
      </c>
      <c r="M34" s="4">
        <f t="shared" si="1"/>
        <v>66</v>
      </c>
      <c r="N34" s="4" t="b">
        <f t="shared" si="0"/>
        <v>0</v>
      </c>
      <c r="O34" s="14"/>
      <c r="P34" s="14"/>
    </row>
    <row r="35" spans="1:16" x14ac:dyDescent="0.2">
      <c r="A35" s="4" t="s">
        <v>440</v>
      </c>
      <c r="B35" s="4" t="s">
        <v>372</v>
      </c>
      <c r="C35" s="4" t="s">
        <v>373</v>
      </c>
      <c r="D35" s="4" t="s">
        <v>374</v>
      </c>
      <c r="E35" s="4" t="s">
        <v>375</v>
      </c>
      <c r="F35" s="4" t="s">
        <v>376</v>
      </c>
      <c r="G35" s="4" t="s">
        <v>377</v>
      </c>
      <c r="H35" s="4" t="s">
        <v>372</v>
      </c>
      <c r="I35" s="4" t="s">
        <v>441</v>
      </c>
      <c r="J35" s="4" t="s">
        <v>379</v>
      </c>
      <c r="K35" s="4">
        <v>1050</v>
      </c>
      <c r="L35" s="4" t="s">
        <v>97</v>
      </c>
      <c r="M35" s="4">
        <f t="shared" si="1"/>
        <v>69</v>
      </c>
      <c r="N35" s="4" t="b">
        <f t="shared" si="0"/>
        <v>0</v>
      </c>
      <c r="O35" s="14"/>
      <c r="P35" s="14"/>
    </row>
    <row r="36" spans="1:16" x14ac:dyDescent="0.2">
      <c r="A36" s="4" t="s">
        <v>442</v>
      </c>
      <c r="B36" s="4" t="s">
        <v>372</v>
      </c>
      <c r="C36" s="4" t="s">
        <v>373</v>
      </c>
      <c r="D36" s="4" t="s">
        <v>374</v>
      </c>
      <c r="E36" s="4" t="s">
        <v>375</v>
      </c>
      <c r="F36" s="4" t="s">
        <v>376</v>
      </c>
      <c r="G36" s="4" t="s">
        <v>377</v>
      </c>
      <c r="H36" s="4" t="s">
        <v>372</v>
      </c>
      <c r="I36" s="4" t="s">
        <v>443</v>
      </c>
      <c r="J36" s="4" t="s">
        <v>379</v>
      </c>
      <c r="K36" s="4">
        <v>1100</v>
      </c>
      <c r="L36" s="4" t="s">
        <v>97</v>
      </c>
      <c r="M36" s="4">
        <f t="shared" si="1"/>
        <v>72</v>
      </c>
      <c r="N36" s="4" t="b">
        <f t="shared" si="0"/>
        <v>0</v>
      </c>
      <c r="O36" s="14"/>
      <c r="P36" s="14"/>
    </row>
    <row r="37" spans="1:16" x14ac:dyDescent="0.2">
      <c r="A37" s="4" t="s">
        <v>444</v>
      </c>
      <c r="B37" s="4" t="s">
        <v>372</v>
      </c>
      <c r="C37" s="4" t="s">
        <v>373</v>
      </c>
      <c r="D37" s="4" t="s">
        <v>374</v>
      </c>
      <c r="E37" s="4" t="s">
        <v>375</v>
      </c>
      <c r="F37" s="4" t="s">
        <v>376</v>
      </c>
      <c r="G37" s="4" t="s">
        <v>377</v>
      </c>
      <c r="H37" s="4" t="s">
        <v>372</v>
      </c>
      <c r="I37" s="4" t="s">
        <v>445</v>
      </c>
      <c r="J37" s="4" t="s">
        <v>379</v>
      </c>
      <c r="K37" s="4">
        <v>1150</v>
      </c>
      <c r="L37" s="4" t="s">
        <v>97</v>
      </c>
      <c r="M37" s="4">
        <f t="shared" si="1"/>
        <v>76</v>
      </c>
      <c r="N37" s="4" t="b">
        <f t="shared" si="0"/>
        <v>0</v>
      </c>
      <c r="O37" s="14"/>
      <c r="P37" s="14"/>
    </row>
    <row r="38" spans="1:16" x14ac:dyDescent="0.2">
      <c r="A38" s="4" t="s">
        <v>446</v>
      </c>
      <c r="B38" s="4" t="s">
        <v>372</v>
      </c>
      <c r="C38" s="4" t="s">
        <v>373</v>
      </c>
      <c r="D38" s="4" t="s">
        <v>374</v>
      </c>
      <c r="E38" s="4" t="s">
        <v>375</v>
      </c>
      <c r="F38" s="4" t="s">
        <v>376</v>
      </c>
      <c r="G38" s="4" t="s">
        <v>377</v>
      </c>
      <c r="H38" s="4" t="s">
        <v>372</v>
      </c>
      <c r="I38" s="4" t="s">
        <v>447</v>
      </c>
      <c r="J38" s="4" t="s">
        <v>379</v>
      </c>
      <c r="K38" s="4">
        <v>1200</v>
      </c>
      <c r="L38" s="4" t="s">
        <v>97</v>
      </c>
      <c r="M38" s="4">
        <f t="shared" si="1"/>
        <v>79</v>
      </c>
      <c r="N38" s="4" t="b">
        <f t="shared" si="0"/>
        <v>0</v>
      </c>
      <c r="O38" s="14"/>
      <c r="P38" s="14"/>
    </row>
    <row r="39" spans="1:16" x14ac:dyDescent="0.2">
      <c r="A39" s="4" t="s">
        <v>448</v>
      </c>
      <c r="B39" s="4" t="s">
        <v>372</v>
      </c>
      <c r="C39" s="4" t="s">
        <v>373</v>
      </c>
      <c r="D39" s="4" t="s">
        <v>374</v>
      </c>
      <c r="E39" s="4" t="s">
        <v>375</v>
      </c>
      <c r="F39" s="4" t="s">
        <v>376</v>
      </c>
      <c r="G39" s="4" t="s">
        <v>377</v>
      </c>
      <c r="H39" s="4" t="s">
        <v>372</v>
      </c>
      <c r="I39" s="4" t="s">
        <v>449</v>
      </c>
      <c r="J39" s="4" t="s">
        <v>379</v>
      </c>
      <c r="K39" s="4">
        <v>1250</v>
      </c>
      <c r="L39" s="4" t="s">
        <v>97</v>
      </c>
      <c r="M39" s="4">
        <f t="shared" si="1"/>
        <v>82</v>
      </c>
      <c r="N39" s="4" t="b">
        <f t="shared" si="0"/>
        <v>0</v>
      </c>
      <c r="O39" s="14"/>
      <c r="P39" s="14"/>
    </row>
    <row r="40" spans="1:16" x14ac:dyDescent="0.2">
      <c r="A40" s="4" t="s">
        <v>450</v>
      </c>
      <c r="B40" s="4" t="s">
        <v>372</v>
      </c>
      <c r="C40" s="4" t="s">
        <v>373</v>
      </c>
      <c r="D40" s="4" t="s">
        <v>374</v>
      </c>
      <c r="E40" s="4" t="s">
        <v>375</v>
      </c>
      <c r="F40" s="4" t="s">
        <v>376</v>
      </c>
      <c r="G40" s="4" t="s">
        <v>377</v>
      </c>
      <c r="H40" s="4" t="s">
        <v>372</v>
      </c>
      <c r="I40" s="4" t="s">
        <v>451</v>
      </c>
      <c r="J40" s="4" t="s">
        <v>379</v>
      </c>
      <c r="K40" s="4">
        <v>1300</v>
      </c>
      <c r="L40" s="4" t="s">
        <v>97</v>
      </c>
      <c r="M40" s="4">
        <f t="shared" si="1"/>
        <v>85</v>
      </c>
      <c r="N40" s="4" t="b">
        <f t="shared" si="0"/>
        <v>0</v>
      </c>
      <c r="O40" s="14"/>
      <c r="P40" s="14"/>
    </row>
    <row r="41" spans="1:16" x14ac:dyDescent="0.2">
      <c r="A41" s="4" t="s">
        <v>452</v>
      </c>
      <c r="B41" s="4" t="s">
        <v>372</v>
      </c>
      <c r="C41" s="4" t="s">
        <v>373</v>
      </c>
      <c r="D41" s="4" t="s">
        <v>374</v>
      </c>
      <c r="E41" s="4" t="s">
        <v>375</v>
      </c>
      <c r="F41" s="4" t="s">
        <v>376</v>
      </c>
      <c r="G41" s="4" t="s">
        <v>377</v>
      </c>
      <c r="H41" s="4" t="s">
        <v>372</v>
      </c>
      <c r="I41" s="4" t="s">
        <v>453</v>
      </c>
      <c r="J41" s="4" t="s">
        <v>379</v>
      </c>
      <c r="K41" s="4">
        <v>1350</v>
      </c>
      <c r="L41" s="4" t="s">
        <v>97</v>
      </c>
      <c r="M41" s="4">
        <f t="shared" si="1"/>
        <v>89</v>
      </c>
      <c r="N41" s="4" t="b">
        <f t="shared" si="0"/>
        <v>0</v>
      </c>
      <c r="O41" s="14"/>
      <c r="P41" s="14"/>
    </row>
    <row r="42" spans="1:16" x14ac:dyDescent="0.2">
      <c r="A42" s="4" t="s">
        <v>454</v>
      </c>
      <c r="B42" s="4" t="s">
        <v>372</v>
      </c>
      <c r="C42" s="4" t="s">
        <v>373</v>
      </c>
      <c r="D42" s="4" t="s">
        <v>374</v>
      </c>
      <c r="E42" s="4" t="s">
        <v>375</v>
      </c>
      <c r="F42" s="4" t="s">
        <v>376</v>
      </c>
      <c r="G42" s="4" t="s">
        <v>377</v>
      </c>
      <c r="H42" s="4" t="s">
        <v>372</v>
      </c>
      <c r="I42" s="4" t="s">
        <v>455</v>
      </c>
      <c r="J42" s="4" t="s">
        <v>379</v>
      </c>
      <c r="K42" s="4">
        <v>1400</v>
      </c>
      <c r="L42" s="4" t="s">
        <v>97</v>
      </c>
      <c r="M42" s="4">
        <f t="shared" si="1"/>
        <v>92</v>
      </c>
      <c r="N42" s="4" t="b">
        <f t="shared" si="0"/>
        <v>0</v>
      </c>
      <c r="O42" s="14"/>
      <c r="P42" s="14"/>
    </row>
    <row r="43" spans="1:16" x14ac:dyDescent="0.2">
      <c r="A43" s="4" t="s">
        <v>456</v>
      </c>
      <c r="B43" s="4" t="s">
        <v>372</v>
      </c>
      <c r="C43" s="4" t="s">
        <v>373</v>
      </c>
      <c r="D43" s="4" t="s">
        <v>374</v>
      </c>
      <c r="E43" s="4" t="s">
        <v>375</v>
      </c>
      <c r="F43" s="4" t="s">
        <v>376</v>
      </c>
      <c r="G43" s="4" t="s">
        <v>377</v>
      </c>
      <c r="H43" s="4" t="s">
        <v>372</v>
      </c>
      <c r="I43" s="4" t="s">
        <v>457</v>
      </c>
      <c r="J43" s="4" t="s">
        <v>379</v>
      </c>
      <c r="K43" s="4">
        <v>1450</v>
      </c>
      <c r="L43" s="4" t="s">
        <v>97</v>
      </c>
      <c r="M43" s="4">
        <f t="shared" si="1"/>
        <v>95</v>
      </c>
      <c r="N43" s="4" t="b">
        <f t="shared" si="0"/>
        <v>0</v>
      </c>
      <c r="O43" s="14"/>
      <c r="P43" s="14"/>
    </row>
    <row r="44" spans="1:16" x14ac:dyDescent="0.2">
      <c r="A44" s="4" t="s">
        <v>458</v>
      </c>
      <c r="B44" s="4" t="s">
        <v>372</v>
      </c>
      <c r="C44" s="4" t="s">
        <v>373</v>
      </c>
      <c r="D44" s="4" t="s">
        <v>374</v>
      </c>
      <c r="E44" s="4" t="s">
        <v>375</v>
      </c>
      <c r="F44" s="4" t="s">
        <v>376</v>
      </c>
      <c r="G44" s="4" t="s">
        <v>377</v>
      </c>
      <c r="H44" s="4" t="s">
        <v>372</v>
      </c>
      <c r="I44" s="4" t="s">
        <v>459</v>
      </c>
      <c r="J44" s="4" t="s">
        <v>379</v>
      </c>
      <c r="K44" s="4">
        <v>1500</v>
      </c>
      <c r="L44" s="4" t="s">
        <v>97</v>
      </c>
      <c r="M44" s="4">
        <f t="shared" si="1"/>
        <v>99</v>
      </c>
      <c r="N44" s="4" t="b">
        <f t="shared" si="0"/>
        <v>0</v>
      </c>
      <c r="O44" s="14"/>
      <c r="P44" s="14"/>
    </row>
    <row r="45" spans="1:16" x14ac:dyDescent="0.2">
      <c r="A45" s="4" t="s">
        <v>460</v>
      </c>
      <c r="B45" s="4" t="s">
        <v>372</v>
      </c>
      <c r="C45" s="4" t="s">
        <v>373</v>
      </c>
      <c r="D45" s="4" t="s">
        <v>374</v>
      </c>
      <c r="E45" s="4" t="s">
        <v>375</v>
      </c>
      <c r="F45" s="4" t="s">
        <v>376</v>
      </c>
      <c r="G45" s="4" t="s">
        <v>377</v>
      </c>
      <c r="H45" s="4" t="s">
        <v>372</v>
      </c>
      <c r="I45" s="4" t="s">
        <v>461</v>
      </c>
      <c r="J45" s="4" t="s">
        <v>379</v>
      </c>
      <c r="K45" s="4">
        <v>1550</v>
      </c>
      <c r="L45" s="4" t="s">
        <v>97</v>
      </c>
      <c r="M45" s="4">
        <f t="shared" si="1"/>
        <v>10</v>
      </c>
      <c r="N45" s="4" t="b">
        <f t="shared" si="0"/>
        <v>0</v>
      </c>
      <c r="O45" s="14"/>
      <c r="P45" s="14"/>
    </row>
    <row r="46" spans="1:16" x14ac:dyDescent="0.2">
      <c r="A46" s="4" t="s">
        <v>462</v>
      </c>
      <c r="B46" s="4" t="s">
        <v>372</v>
      </c>
      <c r="C46" s="4" t="s">
        <v>373</v>
      </c>
      <c r="D46" s="4" t="s">
        <v>374</v>
      </c>
      <c r="E46" s="4" t="s">
        <v>375</v>
      </c>
      <c r="F46" s="4" t="s">
        <v>376</v>
      </c>
      <c r="G46" s="4" t="s">
        <v>377</v>
      </c>
      <c r="H46" s="4" t="s">
        <v>372</v>
      </c>
      <c r="I46" s="4" t="s">
        <v>463</v>
      </c>
      <c r="J46" s="4" t="s">
        <v>379</v>
      </c>
      <c r="K46" s="4">
        <v>1600</v>
      </c>
      <c r="L46" s="4" t="s">
        <v>97</v>
      </c>
      <c r="M46" s="4">
        <f t="shared" si="1"/>
        <v>10</v>
      </c>
      <c r="N46" s="4" t="b">
        <f t="shared" si="0"/>
        <v>0</v>
      </c>
      <c r="O46" s="14"/>
      <c r="P46" s="14"/>
    </row>
    <row r="47" spans="1:16" x14ac:dyDescent="0.2">
      <c r="A47" s="4" t="s">
        <v>464</v>
      </c>
      <c r="B47" s="4" t="s">
        <v>372</v>
      </c>
      <c r="C47" s="4" t="s">
        <v>373</v>
      </c>
      <c r="D47" s="4" t="s">
        <v>374</v>
      </c>
      <c r="E47" s="4" t="s">
        <v>375</v>
      </c>
      <c r="F47" s="4" t="s">
        <v>376</v>
      </c>
      <c r="G47" s="4" t="s">
        <v>377</v>
      </c>
      <c r="H47" s="4" t="s">
        <v>372</v>
      </c>
      <c r="I47" s="4" t="s">
        <v>465</v>
      </c>
      <c r="J47" s="4" t="s">
        <v>379</v>
      </c>
      <c r="K47" s="4">
        <v>1650</v>
      </c>
      <c r="L47" s="4" t="s">
        <v>97</v>
      </c>
      <c r="M47" s="4">
        <f t="shared" si="1"/>
        <v>10</v>
      </c>
      <c r="N47" s="4" t="b">
        <f t="shared" si="0"/>
        <v>0</v>
      </c>
      <c r="O47" s="14"/>
      <c r="P47" s="14"/>
    </row>
    <row r="48" spans="1:16" x14ac:dyDescent="0.2">
      <c r="A48" s="4" t="s">
        <v>466</v>
      </c>
      <c r="B48" s="4" t="s">
        <v>372</v>
      </c>
      <c r="C48" s="4" t="s">
        <v>373</v>
      </c>
      <c r="D48" s="4" t="s">
        <v>374</v>
      </c>
      <c r="E48" s="4" t="s">
        <v>375</v>
      </c>
      <c r="F48" s="4" t="s">
        <v>376</v>
      </c>
      <c r="G48" s="4" t="s">
        <v>377</v>
      </c>
      <c r="H48" s="4" t="s">
        <v>372</v>
      </c>
      <c r="I48" s="4" t="s">
        <v>467</v>
      </c>
      <c r="J48" s="4" t="s">
        <v>379</v>
      </c>
      <c r="K48" s="4">
        <v>1700</v>
      </c>
      <c r="L48" s="4" t="s">
        <v>97</v>
      </c>
      <c r="M48" s="4">
        <f t="shared" si="1"/>
        <v>11</v>
      </c>
      <c r="N48" s="4" t="b">
        <f t="shared" si="0"/>
        <v>0</v>
      </c>
      <c r="O48" s="14"/>
      <c r="P48" s="14"/>
    </row>
    <row r="49" spans="1:16" x14ac:dyDescent="0.2">
      <c r="A49" s="4" t="s">
        <v>468</v>
      </c>
      <c r="B49" s="4" t="s">
        <v>372</v>
      </c>
      <c r="C49" s="4" t="s">
        <v>373</v>
      </c>
      <c r="D49" s="4" t="s">
        <v>374</v>
      </c>
      <c r="E49" s="4" t="s">
        <v>375</v>
      </c>
      <c r="F49" s="4" t="s">
        <v>376</v>
      </c>
      <c r="G49" s="4" t="s">
        <v>377</v>
      </c>
      <c r="H49" s="4" t="s">
        <v>372</v>
      </c>
      <c r="I49" s="4" t="s">
        <v>469</v>
      </c>
      <c r="J49" s="4" t="s">
        <v>379</v>
      </c>
      <c r="K49" s="4">
        <v>1750</v>
      </c>
      <c r="L49" s="4" t="s">
        <v>97</v>
      </c>
      <c r="M49" s="4">
        <f t="shared" si="1"/>
        <v>11</v>
      </c>
      <c r="N49" s="4" t="b">
        <f t="shared" si="0"/>
        <v>0</v>
      </c>
      <c r="O49" s="14"/>
      <c r="P49" s="14"/>
    </row>
    <row r="50" spans="1:16" x14ac:dyDescent="0.2">
      <c r="A50" s="4" t="s">
        <v>470</v>
      </c>
      <c r="B50" s="4" t="s">
        <v>372</v>
      </c>
      <c r="C50" s="4" t="s">
        <v>373</v>
      </c>
      <c r="D50" s="4" t="s">
        <v>374</v>
      </c>
      <c r="E50" s="4" t="s">
        <v>375</v>
      </c>
      <c r="F50" s="4" t="s">
        <v>376</v>
      </c>
      <c r="G50" s="4" t="s">
        <v>377</v>
      </c>
      <c r="H50" s="4" t="s">
        <v>372</v>
      </c>
      <c r="I50" s="4" t="s">
        <v>471</v>
      </c>
      <c r="J50" s="4" t="s">
        <v>379</v>
      </c>
      <c r="K50" s="4">
        <v>1800</v>
      </c>
      <c r="L50" s="4" t="s">
        <v>97</v>
      </c>
      <c r="M50" s="4">
        <f t="shared" si="1"/>
        <v>11</v>
      </c>
      <c r="N50" s="4" t="b">
        <f t="shared" si="0"/>
        <v>0</v>
      </c>
      <c r="O50" s="14"/>
      <c r="P50" s="14"/>
    </row>
    <row r="51" spans="1:16" x14ac:dyDescent="0.2">
      <c r="A51" s="4" t="s">
        <v>472</v>
      </c>
      <c r="B51" s="4" t="s">
        <v>372</v>
      </c>
      <c r="C51" s="4" t="s">
        <v>373</v>
      </c>
      <c r="D51" s="4" t="s">
        <v>374</v>
      </c>
      <c r="E51" s="4" t="s">
        <v>375</v>
      </c>
      <c r="F51" s="4" t="s">
        <v>376</v>
      </c>
      <c r="G51" s="4" t="s">
        <v>377</v>
      </c>
      <c r="H51" s="4" t="s">
        <v>372</v>
      </c>
      <c r="I51" s="4" t="s">
        <v>473</v>
      </c>
      <c r="J51" s="4" t="s">
        <v>379</v>
      </c>
      <c r="K51" s="4">
        <v>1850</v>
      </c>
      <c r="L51" s="4" t="s">
        <v>97</v>
      </c>
      <c r="M51" s="4">
        <f t="shared" si="1"/>
        <v>12</v>
      </c>
      <c r="N51" s="4" t="b">
        <f t="shared" si="0"/>
        <v>0</v>
      </c>
      <c r="O51" s="14"/>
      <c r="P51" s="14"/>
    </row>
    <row r="52" spans="1:16" x14ac:dyDescent="0.2">
      <c r="A52" s="4" t="s">
        <v>474</v>
      </c>
      <c r="B52" s="4" t="s">
        <v>372</v>
      </c>
      <c r="C52" s="4" t="s">
        <v>373</v>
      </c>
      <c r="D52" s="4" t="s">
        <v>374</v>
      </c>
      <c r="E52" s="4" t="s">
        <v>375</v>
      </c>
      <c r="F52" s="4" t="s">
        <v>376</v>
      </c>
      <c r="G52" s="4" t="s">
        <v>377</v>
      </c>
      <c r="H52" s="4" t="s">
        <v>372</v>
      </c>
      <c r="I52" s="4" t="s">
        <v>475</v>
      </c>
      <c r="J52" s="4" t="s">
        <v>379</v>
      </c>
      <c r="K52" s="4">
        <v>1900</v>
      </c>
      <c r="L52" s="4" t="s">
        <v>97</v>
      </c>
      <c r="M52" s="4">
        <f t="shared" si="1"/>
        <v>12</v>
      </c>
      <c r="N52" s="4" t="b">
        <f t="shared" si="0"/>
        <v>0</v>
      </c>
      <c r="O52" s="14"/>
      <c r="P52" s="14"/>
    </row>
    <row r="53" spans="1:16" x14ac:dyDescent="0.2">
      <c r="A53" s="4" t="s">
        <v>476</v>
      </c>
      <c r="B53" s="4" t="s">
        <v>372</v>
      </c>
      <c r="C53" s="4" t="s">
        <v>373</v>
      </c>
      <c r="D53" s="4" t="s">
        <v>374</v>
      </c>
      <c r="E53" s="4" t="s">
        <v>375</v>
      </c>
      <c r="F53" s="4" t="s">
        <v>376</v>
      </c>
      <c r="G53" s="4" t="s">
        <v>377</v>
      </c>
      <c r="H53" s="4" t="s">
        <v>372</v>
      </c>
      <c r="I53" s="4" t="s">
        <v>477</v>
      </c>
      <c r="J53" s="4" t="s">
        <v>379</v>
      </c>
      <c r="K53" s="4">
        <v>1950</v>
      </c>
      <c r="L53" s="4" t="s">
        <v>97</v>
      </c>
      <c r="M53" s="4">
        <f t="shared" si="1"/>
        <v>12</v>
      </c>
      <c r="N53" s="4" t="b">
        <f t="shared" si="0"/>
        <v>0</v>
      </c>
      <c r="O53" s="14"/>
      <c r="P53" s="14"/>
    </row>
    <row r="54" spans="1:16" x14ac:dyDescent="0.2">
      <c r="A54" s="4" t="s">
        <v>478</v>
      </c>
      <c r="B54" s="4" t="s">
        <v>372</v>
      </c>
      <c r="C54" s="4" t="s">
        <v>373</v>
      </c>
      <c r="D54" s="4" t="s">
        <v>374</v>
      </c>
      <c r="E54" s="4" t="s">
        <v>375</v>
      </c>
      <c r="F54" s="4" t="s">
        <v>376</v>
      </c>
      <c r="G54" s="4" t="s">
        <v>377</v>
      </c>
      <c r="H54" s="4" t="s">
        <v>372</v>
      </c>
      <c r="I54" s="4" t="s">
        <v>479</v>
      </c>
      <c r="J54" s="4" t="s">
        <v>379</v>
      </c>
      <c r="K54" s="4">
        <v>2000</v>
      </c>
      <c r="L54" s="4" t="s">
        <v>97</v>
      </c>
      <c r="M54" s="4">
        <f t="shared" si="1"/>
        <v>13</v>
      </c>
      <c r="N54" s="4" t="b">
        <f t="shared" si="0"/>
        <v>0</v>
      </c>
      <c r="O54" s="14"/>
      <c r="P54" s="14"/>
    </row>
    <row r="55" spans="1:16" x14ac:dyDescent="0.2">
      <c r="A55" s="4" t="s">
        <v>480</v>
      </c>
      <c r="B55" s="4" t="s">
        <v>372</v>
      </c>
      <c r="C55" s="4" t="s">
        <v>373</v>
      </c>
      <c r="D55" s="4" t="s">
        <v>374</v>
      </c>
      <c r="E55" s="4" t="s">
        <v>375</v>
      </c>
      <c r="F55" s="4" t="s">
        <v>376</v>
      </c>
      <c r="G55" s="4" t="s">
        <v>377</v>
      </c>
      <c r="H55" s="4" t="s">
        <v>372</v>
      </c>
      <c r="I55" s="4" t="s">
        <v>481</v>
      </c>
      <c r="J55" s="4" t="s">
        <v>379</v>
      </c>
      <c r="K55" s="4">
        <v>2050</v>
      </c>
      <c r="L55" s="4" t="s">
        <v>97</v>
      </c>
      <c r="M55" s="4">
        <f t="shared" si="1"/>
        <v>13</v>
      </c>
      <c r="N55" s="4" t="b">
        <f t="shared" si="0"/>
        <v>0</v>
      </c>
      <c r="O55" s="14"/>
      <c r="P55" s="14"/>
    </row>
    <row r="56" spans="1:16" x14ac:dyDescent="0.2">
      <c r="A56" s="4" t="s">
        <v>482</v>
      </c>
      <c r="B56" s="4" t="s">
        <v>372</v>
      </c>
      <c r="C56" s="4" t="s">
        <v>373</v>
      </c>
      <c r="D56" s="4" t="s">
        <v>374</v>
      </c>
      <c r="E56" s="4" t="s">
        <v>375</v>
      </c>
      <c r="F56" s="4" t="s">
        <v>376</v>
      </c>
      <c r="G56" s="4" t="s">
        <v>377</v>
      </c>
      <c r="H56" s="4" t="s">
        <v>372</v>
      </c>
      <c r="I56" s="4" t="s">
        <v>483</v>
      </c>
      <c r="J56" s="4" t="s">
        <v>379</v>
      </c>
      <c r="K56" s="4">
        <v>2100</v>
      </c>
      <c r="L56" s="4" t="s">
        <v>97</v>
      </c>
      <c r="M56" s="4">
        <f t="shared" si="1"/>
        <v>13</v>
      </c>
      <c r="N56" s="4" t="b">
        <f t="shared" si="0"/>
        <v>0</v>
      </c>
      <c r="O56" s="14"/>
      <c r="P56" s="14"/>
    </row>
    <row r="57" spans="1:16" x14ac:dyDescent="0.2">
      <c r="A57" s="4" t="s">
        <v>484</v>
      </c>
      <c r="B57" s="4" t="s">
        <v>372</v>
      </c>
      <c r="C57" s="4" t="s">
        <v>373</v>
      </c>
      <c r="D57" s="4" t="s">
        <v>374</v>
      </c>
      <c r="E57" s="4" t="s">
        <v>375</v>
      </c>
      <c r="F57" s="4" t="s">
        <v>376</v>
      </c>
      <c r="G57" s="4" t="s">
        <v>377</v>
      </c>
      <c r="H57" s="4" t="s">
        <v>372</v>
      </c>
      <c r="I57" s="4" t="s">
        <v>485</v>
      </c>
      <c r="J57" s="4" t="s">
        <v>379</v>
      </c>
      <c r="K57" s="4">
        <v>2150</v>
      </c>
      <c r="L57" s="4" t="s">
        <v>97</v>
      </c>
      <c r="M57" s="4">
        <f t="shared" si="1"/>
        <v>14</v>
      </c>
      <c r="N57" s="4" t="b">
        <f t="shared" si="0"/>
        <v>0</v>
      </c>
      <c r="O57" s="14"/>
      <c r="P57" s="14"/>
    </row>
    <row r="58" spans="1:16" x14ac:dyDescent="0.2">
      <c r="A58" s="4" t="s">
        <v>486</v>
      </c>
      <c r="B58" s="4" t="s">
        <v>372</v>
      </c>
      <c r="C58" s="4" t="s">
        <v>373</v>
      </c>
      <c r="D58" s="4" t="s">
        <v>374</v>
      </c>
      <c r="E58" s="4" t="s">
        <v>375</v>
      </c>
      <c r="F58" s="4" t="s">
        <v>376</v>
      </c>
      <c r="G58" s="4" t="s">
        <v>377</v>
      </c>
      <c r="H58" s="4" t="s">
        <v>372</v>
      </c>
      <c r="I58" s="4" t="s">
        <v>487</v>
      </c>
      <c r="J58" s="4" t="s">
        <v>379</v>
      </c>
      <c r="K58" s="4">
        <v>2200</v>
      </c>
      <c r="L58" s="4" t="s">
        <v>97</v>
      </c>
      <c r="M58" s="4">
        <f t="shared" si="1"/>
        <v>14</v>
      </c>
      <c r="N58" s="4" t="b">
        <f t="shared" si="0"/>
        <v>0</v>
      </c>
      <c r="O58" s="14"/>
      <c r="P58" s="14"/>
    </row>
    <row r="59" spans="1:16" x14ac:dyDescent="0.2">
      <c r="A59" s="4" t="s">
        <v>488</v>
      </c>
      <c r="B59" s="4" t="s">
        <v>372</v>
      </c>
      <c r="C59" s="4" t="s">
        <v>373</v>
      </c>
      <c r="D59" s="4" t="s">
        <v>374</v>
      </c>
      <c r="E59" s="4" t="s">
        <v>375</v>
      </c>
      <c r="F59" s="4" t="s">
        <v>376</v>
      </c>
      <c r="G59" s="4" t="s">
        <v>377</v>
      </c>
      <c r="H59" s="4" t="s">
        <v>372</v>
      </c>
      <c r="I59" s="4" t="s">
        <v>489</v>
      </c>
      <c r="J59" s="4" t="s">
        <v>379</v>
      </c>
      <c r="K59" s="4">
        <v>2250</v>
      </c>
      <c r="L59" s="4" t="s">
        <v>97</v>
      </c>
      <c r="M59" s="4">
        <f t="shared" si="1"/>
        <v>14</v>
      </c>
      <c r="N59" s="4" t="b">
        <f t="shared" si="0"/>
        <v>0</v>
      </c>
      <c r="O59" s="14"/>
      <c r="P59" s="14"/>
    </row>
    <row r="60" spans="1:16" x14ac:dyDescent="0.2">
      <c r="A60" s="4" t="s">
        <v>490</v>
      </c>
      <c r="B60" s="4" t="s">
        <v>372</v>
      </c>
      <c r="C60" s="4" t="s">
        <v>373</v>
      </c>
      <c r="D60" s="4" t="s">
        <v>374</v>
      </c>
      <c r="E60" s="4" t="s">
        <v>375</v>
      </c>
      <c r="F60" s="4" t="s">
        <v>376</v>
      </c>
      <c r="G60" s="4" t="s">
        <v>377</v>
      </c>
      <c r="H60" s="4" t="s">
        <v>372</v>
      </c>
      <c r="I60" s="4" t="s">
        <v>491</v>
      </c>
      <c r="J60" s="4" t="s">
        <v>379</v>
      </c>
      <c r="K60" s="4">
        <v>2300</v>
      </c>
      <c r="L60" s="4" t="s">
        <v>97</v>
      </c>
      <c r="M60" s="4">
        <f t="shared" si="1"/>
        <v>15</v>
      </c>
      <c r="N60" s="4" t="b">
        <f t="shared" si="0"/>
        <v>0</v>
      </c>
      <c r="O60" s="14"/>
      <c r="P60" s="14"/>
    </row>
    <row r="61" spans="1:16" x14ac:dyDescent="0.2">
      <c r="A61" s="4" t="s">
        <v>492</v>
      </c>
      <c r="B61" s="4" t="s">
        <v>372</v>
      </c>
      <c r="C61" s="4" t="s">
        <v>373</v>
      </c>
      <c r="D61" s="4" t="s">
        <v>374</v>
      </c>
      <c r="E61" s="4" t="s">
        <v>375</v>
      </c>
      <c r="F61" s="4" t="s">
        <v>376</v>
      </c>
      <c r="G61" s="4" t="s">
        <v>377</v>
      </c>
      <c r="H61" s="4" t="s">
        <v>372</v>
      </c>
      <c r="I61" s="4" t="s">
        <v>493</v>
      </c>
      <c r="J61" s="4" t="s">
        <v>379</v>
      </c>
      <c r="K61" s="4">
        <v>2350</v>
      </c>
      <c r="L61" s="4" t="s">
        <v>97</v>
      </c>
      <c r="M61" s="4">
        <f t="shared" si="1"/>
        <v>15</v>
      </c>
      <c r="N61" s="4" t="b">
        <f t="shared" si="0"/>
        <v>0</v>
      </c>
      <c r="O61" s="14"/>
      <c r="P61" s="14"/>
    </row>
    <row r="62" spans="1:16" x14ac:dyDescent="0.2">
      <c r="A62" s="4" t="s">
        <v>494</v>
      </c>
      <c r="B62" s="4" t="s">
        <v>372</v>
      </c>
      <c r="C62" s="4" t="s">
        <v>373</v>
      </c>
      <c r="D62" s="4" t="s">
        <v>374</v>
      </c>
      <c r="E62" s="4" t="s">
        <v>375</v>
      </c>
      <c r="F62" s="4" t="s">
        <v>376</v>
      </c>
      <c r="G62" s="4" t="s">
        <v>377</v>
      </c>
      <c r="H62" s="4" t="s">
        <v>372</v>
      </c>
      <c r="I62" s="4" t="s">
        <v>493</v>
      </c>
      <c r="J62" s="4" t="s">
        <v>379</v>
      </c>
      <c r="K62" s="4">
        <v>2400</v>
      </c>
      <c r="L62" s="4" t="s">
        <v>97</v>
      </c>
      <c r="M62" s="4">
        <f t="shared" si="1"/>
        <v>15</v>
      </c>
      <c r="N62" s="4" t="b">
        <f t="shared" si="0"/>
        <v>0</v>
      </c>
      <c r="O62" s="14"/>
      <c r="P62" s="14"/>
    </row>
    <row r="63" spans="1:16" x14ac:dyDescent="0.2">
      <c r="A63" s="4" t="s">
        <v>495</v>
      </c>
      <c r="B63" s="4" t="s">
        <v>372</v>
      </c>
      <c r="C63" s="4" t="s">
        <v>373</v>
      </c>
      <c r="D63" s="4" t="s">
        <v>374</v>
      </c>
      <c r="E63" s="4" t="s">
        <v>375</v>
      </c>
      <c r="F63" s="4" t="s">
        <v>376</v>
      </c>
      <c r="G63" s="4" t="s">
        <v>377</v>
      </c>
      <c r="H63" s="4" t="s">
        <v>372</v>
      </c>
      <c r="I63" s="4" t="s">
        <v>493</v>
      </c>
      <c r="J63" s="4" t="s">
        <v>379</v>
      </c>
      <c r="K63" s="4">
        <v>2450</v>
      </c>
      <c r="L63" s="4" t="s">
        <v>97</v>
      </c>
      <c r="M63" s="4">
        <f t="shared" si="1"/>
        <v>15</v>
      </c>
      <c r="N63" s="4" t="b">
        <f t="shared" si="0"/>
        <v>0</v>
      </c>
      <c r="O63" s="14"/>
      <c r="P63" s="14"/>
    </row>
    <row r="64" spans="1:16" x14ac:dyDescent="0.2">
      <c r="A64" s="4" t="s">
        <v>496</v>
      </c>
      <c r="B64" s="4" t="s">
        <v>372</v>
      </c>
      <c r="C64" s="4" t="s">
        <v>373</v>
      </c>
      <c r="D64" s="4" t="s">
        <v>374</v>
      </c>
      <c r="E64" s="4" t="s">
        <v>375</v>
      </c>
      <c r="F64" s="4" t="s">
        <v>376</v>
      </c>
      <c r="G64" s="4" t="s">
        <v>377</v>
      </c>
      <c r="H64" s="4" t="s">
        <v>372</v>
      </c>
      <c r="I64" s="4" t="s">
        <v>493</v>
      </c>
      <c r="J64" s="4" t="s">
        <v>379</v>
      </c>
      <c r="K64" s="4">
        <v>2500</v>
      </c>
      <c r="L64" s="4" t="s">
        <v>97</v>
      </c>
      <c r="M64" s="4">
        <f t="shared" si="1"/>
        <v>15</v>
      </c>
      <c r="N64" s="4" t="b">
        <f t="shared" si="0"/>
        <v>0</v>
      </c>
      <c r="O64" s="14"/>
      <c r="P64" s="14"/>
    </row>
  </sheetData>
  <phoneticPr fontId="6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topLeftCell="A34" workbookViewId="0">
      <selection activeCell="P2" sqref="P2"/>
    </sheetView>
  </sheetViews>
  <sheetFormatPr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45.42578125" style="4" customWidth="1"/>
    <col min="14" max="16384" width="9.140625" style="14"/>
  </cols>
  <sheetData>
    <row r="1" spans="1:19" x14ac:dyDescent="0.2">
      <c r="M1" s="4" t="s">
        <v>498</v>
      </c>
      <c r="O1" s="4" t="s">
        <v>370</v>
      </c>
      <c r="P1" s="161">
        <f>'SDM439 DPHY timing'!B3</f>
        <v>390</v>
      </c>
      <c r="Q1" s="4"/>
      <c r="R1" s="4" t="s">
        <v>497</v>
      </c>
      <c r="S1" s="4">
        <f>LOOKUP("SELECT",N2:N64,M2:M64)</f>
        <v>10</v>
      </c>
    </row>
    <row r="2" spans="1:19" x14ac:dyDescent="0.2">
      <c r="A2" s="14" t="s">
        <v>371</v>
      </c>
      <c r="B2" s="14" t="s">
        <v>372</v>
      </c>
      <c r="C2" s="14" t="s">
        <v>499</v>
      </c>
      <c r="D2" s="14" t="s">
        <v>374</v>
      </c>
      <c r="E2" s="14" t="s">
        <v>500</v>
      </c>
      <c r="F2" s="14" t="s">
        <v>376</v>
      </c>
      <c r="G2" s="14" t="s">
        <v>501</v>
      </c>
      <c r="H2" s="14" t="s">
        <v>372</v>
      </c>
      <c r="I2" s="14" t="s">
        <v>502</v>
      </c>
      <c r="J2" s="14" t="s">
        <v>379</v>
      </c>
      <c r="K2" s="14">
        <v>80</v>
      </c>
      <c r="L2" s="14" t="s">
        <v>97</v>
      </c>
      <c r="M2" s="4">
        <f>IF(_xlfn.NUMBERVALUE(MID(I2,5,1))=1,8,0)+_xlfn.NUMBERVALUE(MID(I2,10,1))</f>
        <v>13</v>
      </c>
      <c r="N2" s="4" t="b">
        <f>IF($P$1&gt;=K2,IF($P$1&lt;K3,"SELECT"))</f>
        <v>0</v>
      </c>
    </row>
    <row r="3" spans="1:19" x14ac:dyDescent="0.2">
      <c r="A3" s="14" t="s">
        <v>380</v>
      </c>
      <c r="B3" s="14" t="s">
        <v>372</v>
      </c>
      <c r="C3" s="14" t="s">
        <v>499</v>
      </c>
      <c r="D3" s="14" t="s">
        <v>374</v>
      </c>
      <c r="E3" s="14" t="s">
        <v>500</v>
      </c>
      <c r="F3" s="14" t="s">
        <v>376</v>
      </c>
      <c r="G3" s="14" t="s">
        <v>501</v>
      </c>
      <c r="H3" s="14" t="s">
        <v>372</v>
      </c>
      <c r="I3" s="14" t="s">
        <v>503</v>
      </c>
      <c r="J3" s="14" t="s">
        <v>379</v>
      </c>
      <c r="K3" s="14">
        <v>90</v>
      </c>
      <c r="L3" s="14" t="s">
        <v>97</v>
      </c>
      <c r="M3" s="4">
        <f t="shared" ref="M3:M64" si="0">IF(_xlfn.NUMBERVALUE(MID(I3,5,1))=1,8,0)+_xlfn.NUMBERVALUE(MID(I3,10,1))</f>
        <v>14</v>
      </c>
      <c r="N3" s="4" t="b">
        <f t="shared" ref="N3:N64" si="1">IF($P$1&gt;=K3,IF($P$1&lt;K4,"SELECT"))</f>
        <v>0</v>
      </c>
    </row>
    <row r="4" spans="1:19" x14ac:dyDescent="0.2">
      <c r="A4" s="14" t="s">
        <v>382</v>
      </c>
      <c r="B4" s="14" t="s">
        <v>372</v>
      </c>
      <c r="C4" s="14" t="s">
        <v>499</v>
      </c>
      <c r="D4" s="14" t="s">
        <v>374</v>
      </c>
      <c r="E4" s="14" t="s">
        <v>500</v>
      </c>
      <c r="F4" s="14" t="s">
        <v>376</v>
      </c>
      <c r="G4" s="14" t="s">
        <v>501</v>
      </c>
      <c r="H4" s="14" t="s">
        <v>372</v>
      </c>
      <c r="I4" s="14" t="s">
        <v>503</v>
      </c>
      <c r="J4" s="14" t="s">
        <v>379</v>
      </c>
      <c r="K4" s="14">
        <v>100</v>
      </c>
      <c r="L4" s="14" t="s">
        <v>97</v>
      </c>
      <c r="M4" s="4">
        <f t="shared" si="0"/>
        <v>14</v>
      </c>
      <c r="N4" s="4" t="b">
        <f t="shared" si="1"/>
        <v>0</v>
      </c>
    </row>
    <row r="5" spans="1:19" x14ac:dyDescent="0.2">
      <c r="A5" s="14" t="s">
        <v>383</v>
      </c>
      <c r="B5" s="14" t="s">
        <v>372</v>
      </c>
      <c r="C5" s="14" t="s">
        <v>499</v>
      </c>
      <c r="D5" s="14" t="s">
        <v>374</v>
      </c>
      <c r="E5" s="14" t="s">
        <v>500</v>
      </c>
      <c r="F5" s="14" t="s">
        <v>376</v>
      </c>
      <c r="G5" s="14" t="s">
        <v>501</v>
      </c>
      <c r="H5" s="14" t="s">
        <v>372</v>
      </c>
      <c r="I5" s="14" t="s">
        <v>504</v>
      </c>
      <c r="J5" s="14" t="s">
        <v>379</v>
      </c>
      <c r="K5" s="14">
        <v>110</v>
      </c>
      <c r="L5" s="14" t="s">
        <v>97</v>
      </c>
      <c r="M5" s="4">
        <f t="shared" si="0"/>
        <v>15</v>
      </c>
      <c r="N5" s="4" t="b">
        <f t="shared" si="1"/>
        <v>0</v>
      </c>
    </row>
    <row r="6" spans="1:19" x14ac:dyDescent="0.2">
      <c r="A6" s="14" t="s">
        <v>385</v>
      </c>
      <c r="B6" s="14" t="s">
        <v>372</v>
      </c>
      <c r="C6" s="14" t="s">
        <v>499</v>
      </c>
      <c r="D6" s="14" t="s">
        <v>374</v>
      </c>
      <c r="E6" s="14" t="s">
        <v>500</v>
      </c>
      <c r="F6" s="14" t="s">
        <v>376</v>
      </c>
      <c r="G6" s="14" t="s">
        <v>501</v>
      </c>
      <c r="H6" s="14" t="s">
        <v>372</v>
      </c>
      <c r="I6" s="14" t="s">
        <v>505</v>
      </c>
      <c r="J6" s="14" t="s">
        <v>379</v>
      </c>
      <c r="K6" s="14">
        <v>120</v>
      </c>
      <c r="L6" s="14" t="s">
        <v>97</v>
      </c>
      <c r="M6" s="4">
        <f t="shared" si="0"/>
        <v>8</v>
      </c>
      <c r="N6" s="4" t="b">
        <f t="shared" si="1"/>
        <v>0</v>
      </c>
    </row>
    <row r="7" spans="1:19" x14ac:dyDescent="0.2">
      <c r="A7" s="14" t="s">
        <v>387</v>
      </c>
      <c r="B7" s="14" t="s">
        <v>372</v>
      </c>
      <c r="C7" s="14" t="s">
        <v>499</v>
      </c>
      <c r="D7" s="14" t="s">
        <v>374</v>
      </c>
      <c r="E7" s="14" t="s">
        <v>500</v>
      </c>
      <c r="F7" s="14" t="s">
        <v>376</v>
      </c>
      <c r="G7" s="14" t="s">
        <v>501</v>
      </c>
      <c r="H7" s="14" t="s">
        <v>372</v>
      </c>
      <c r="I7" s="14" t="s">
        <v>506</v>
      </c>
      <c r="J7" s="14" t="s">
        <v>379</v>
      </c>
      <c r="K7" s="14">
        <v>130</v>
      </c>
      <c r="L7" s="14" t="s">
        <v>97</v>
      </c>
      <c r="M7" s="4">
        <f t="shared" si="0"/>
        <v>9</v>
      </c>
      <c r="N7" s="4" t="b">
        <f t="shared" si="1"/>
        <v>0</v>
      </c>
    </row>
    <row r="8" spans="1:19" x14ac:dyDescent="0.2">
      <c r="A8" s="14" t="s">
        <v>388</v>
      </c>
      <c r="B8" s="14" t="s">
        <v>372</v>
      </c>
      <c r="C8" s="14" t="s">
        <v>499</v>
      </c>
      <c r="D8" s="14" t="s">
        <v>374</v>
      </c>
      <c r="E8" s="14" t="s">
        <v>500</v>
      </c>
      <c r="F8" s="14" t="s">
        <v>376</v>
      </c>
      <c r="G8" s="14" t="s">
        <v>501</v>
      </c>
      <c r="H8" s="14" t="s">
        <v>372</v>
      </c>
      <c r="I8" s="14" t="s">
        <v>507</v>
      </c>
      <c r="J8" s="14" t="s">
        <v>379</v>
      </c>
      <c r="K8" s="14">
        <v>140</v>
      </c>
      <c r="L8" s="14" t="s">
        <v>97</v>
      </c>
      <c r="M8" s="4">
        <f t="shared" si="0"/>
        <v>10</v>
      </c>
      <c r="N8" s="4" t="b">
        <f t="shared" si="1"/>
        <v>0</v>
      </c>
    </row>
    <row r="9" spans="1:19" x14ac:dyDescent="0.2">
      <c r="A9" s="14" t="s">
        <v>390</v>
      </c>
      <c r="B9" s="14" t="s">
        <v>372</v>
      </c>
      <c r="C9" s="14" t="s">
        <v>499</v>
      </c>
      <c r="D9" s="14" t="s">
        <v>374</v>
      </c>
      <c r="E9" s="14" t="s">
        <v>500</v>
      </c>
      <c r="F9" s="14" t="s">
        <v>376</v>
      </c>
      <c r="G9" s="14" t="s">
        <v>501</v>
      </c>
      <c r="H9" s="14" t="s">
        <v>372</v>
      </c>
      <c r="I9" s="14" t="s">
        <v>507</v>
      </c>
      <c r="J9" s="14" t="s">
        <v>379</v>
      </c>
      <c r="K9" s="14">
        <v>150</v>
      </c>
      <c r="L9" s="14" t="s">
        <v>97</v>
      </c>
      <c r="M9" s="4">
        <f t="shared" si="0"/>
        <v>10</v>
      </c>
      <c r="N9" s="4" t="b">
        <f t="shared" si="1"/>
        <v>0</v>
      </c>
    </row>
    <row r="10" spans="1:19" x14ac:dyDescent="0.2">
      <c r="A10" s="14" t="s">
        <v>392</v>
      </c>
      <c r="B10" s="14" t="s">
        <v>372</v>
      </c>
      <c r="C10" s="14" t="s">
        <v>499</v>
      </c>
      <c r="D10" s="14" t="s">
        <v>374</v>
      </c>
      <c r="E10" s="14" t="s">
        <v>500</v>
      </c>
      <c r="F10" s="14" t="s">
        <v>376</v>
      </c>
      <c r="G10" s="14" t="s">
        <v>501</v>
      </c>
      <c r="H10" s="14" t="s">
        <v>372</v>
      </c>
      <c r="I10" s="14" t="s">
        <v>508</v>
      </c>
      <c r="J10" s="14" t="s">
        <v>379</v>
      </c>
      <c r="K10" s="14">
        <v>160</v>
      </c>
      <c r="L10" s="14" t="s">
        <v>97</v>
      </c>
      <c r="M10" s="4">
        <f t="shared" si="0"/>
        <v>11</v>
      </c>
      <c r="N10" s="4" t="b">
        <f t="shared" si="1"/>
        <v>0</v>
      </c>
    </row>
    <row r="11" spans="1:19" x14ac:dyDescent="0.2">
      <c r="A11" s="14" t="s">
        <v>393</v>
      </c>
      <c r="B11" s="14" t="s">
        <v>372</v>
      </c>
      <c r="C11" s="14" t="s">
        <v>499</v>
      </c>
      <c r="D11" s="14" t="s">
        <v>374</v>
      </c>
      <c r="E11" s="14" t="s">
        <v>500</v>
      </c>
      <c r="F11" s="14" t="s">
        <v>376</v>
      </c>
      <c r="G11" s="14" t="s">
        <v>501</v>
      </c>
      <c r="H11" s="14" t="s">
        <v>372</v>
      </c>
      <c r="I11" s="14" t="s">
        <v>509</v>
      </c>
      <c r="J11" s="14" t="s">
        <v>379</v>
      </c>
      <c r="K11" s="14">
        <v>170</v>
      </c>
      <c r="L11" s="14" t="s">
        <v>97</v>
      </c>
      <c r="M11" s="4">
        <f t="shared" si="0"/>
        <v>12</v>
      </c>
      <c r="N11" s="4" t="b">
        <f t="shared" si="1"/>
        <v>0</v>
      </c>
    </row>
    <row r="12" spans="1:19" x14ac:dyDescent="0.2">
      <c r="A12" s="14" t="s">
        <v>395</v>
      </c>
      <c r="B12" s="14" t="s">
        <v>372</v>
      </c>
      <c r="C12" s="14" t="s">
        <v>499</v>
      </c>
      <c r="D12" s="14" t="s">
        <v>374</v>
      </c>
      <c r="E12" s="14" t="s">
        <v>500</v>
      </c>
      <c r="F12" s="14" t="s">
        <v>376</v>
      </c>
      <c r="G12" s="14" t="s">
        <v>501</v>
      </c>
      <c r="H12" s="14" t="s">
        <v>372</v>
      </c>
      <c r="I12" s="14" t="s">
        <v>502</v>
      </c>
      <c r="J12" s="14" t="s">
        <v>379</v>
      </c>
      <c r="K12" s="14">
        <v>180</v>
      </c>
      <c r="L12" s="14" t="s">
        <v>97</v>
      </c>
      <c r="M12" s="4">
        <f t="shared" si="0"/>
        <v>13</v>
      </c>
      <c r="N12" s="4" t="b">
        <f t="shared" si="1"/>
        <v>0</v>
      </c>
    </row>
    <row r="13" spans="1:19" x14ac:dyDescent="0.2">
      <c r="A13" s="14" t="s">
        <v>396</v>
      </c>
      <c r="B13" s="14" t="s">
        <v>372</v>
      </c>
      <c r="C13" s="14" t="s">
        <v>499</v>
      </c>
      <c r="D13" s="14" t="s">
        <v>374</v>
      </c>
      <c r="E13" s="14" t="s">
        <v>500</v>
      </c>
      <c r="F13" s="14" t="s">
        <v>376</v>
      </c>
      <c r="G13" s="14" t="s">
        <v>501</v>
      </c>
      <c r="H13" s="14" t="s">
        <v>372</v>
      </c>
      <c r="I13" s="14" t="s">
        <v>502</v>
      </c>
      <c r="J13" s="14" t="s">
        <v>379</v>
      </c>
      <c r="K13" s="14">
        <v>190</v>
      </c>
      <c r="L13" s="14" t="s">
        <v>97</v>
      </c>
      <c r="M13" s="4">
        <f t="shared" si="0"/>
        <v>13</v>
      </c>
      <c r="N13" s="4" t="b">
        <f t="shared" si="1"/>
        <v>0</v>
      </c>
    </row>
    <row r="14" spans="1:19" x14ac:dyDescent="0.2">
      <c r="A14" s="14" t="s">
        <v>398</v>
      </c>
      <c r="B14" s="14" t="s">
        <v>372</v>
      </c>
      <c r="C14" s="14" t="s">
        <v>499</v>
      </c>
      <c r="D14" s="14" t="s">
        <v>374</v>
      </c>
      <c r="E14" s="14" t="s">
        <v>500</v>
      </c>
      <c r="F14" s="14" t="s">
        <v>376</v>
      </c>
      <c r="G14" s="14" t="s">
        <v>501</v>
      </c>
      <c r="H14" s="14" t="s">
        <v>372</v>
      </c>
      <c r="I14" s="14" t="s">
        <v>503</v>
      </c>
      <c r="J14" s="14" t="s">
        <v>379</v>
      </c>
      <c r="K14" s="14">
        <v>205</v>
      </c>
      <c r="L14" s="14" t="s">
        <v>97</v>
      </c>
      <c r="M14" s="4">
        <f t="shared" si="0"/>
        <v>14</v>
      </c>
      <c r="N14" s="4" t="b">
        <f t="shared" si="1"/>
        <v>0</v>
      </c>
    </row>
    <row r="15" spans="1:19" x14ac:dyDescent="0.2">
      <c r="A15" s="14" t="s">
        <v>400</v>
      </c>
      <c r="B15" s="14" t="s">
        <v>372</v>
      </c>
      <c r="C15" s="14" t="s">
        <v>499</v>
      </c>
      <c r="D15" s="14" t="s">
        <v>374</v>
      </c>
      <c r="E15" s="14" t="s">
        <v>500</v>
      </c>
      <c r="F15" s="14" t="s">
        <v>376</v>
      </c>
      <c r="G15" s="14" t="s">
        <v>501</v>
      </c>
      <c r="H15" s="14" t="s">
        <v>372</v>
      </c>
      <c r="I15" s="14" t="s">
        <v>505</v>
      </c>
      <c r="J15" s="14" t="s">
        <v>379</v>
      </c>
      <c r="K15" s="14">
        <v>220</v>
      </c>
      <c r="L15" s="14" t="s">
        <v>97</v>
      </c>
      <c r="M15" s="4">
        <f t="shared" si="0"/>
        <v>8</v>
      </c>
      <c r="N15" s="4" t="b">
        <f t="shared" si="1"/>
        <v>0</v>
      </c>
    </row>
    <row r="16" spans="1:19" x14ac:dyDescent="0.2">
      <c r="A16" s="14" t="s">
        <v>402</v>
      </c>
      <c r="B16" s="14" t="s">
        <v>372</v>
      </c>
      <c r="C16" s="14" t="s">
        <v>499</v>
      </c>
      <c r="D16" s="14" t="s">
        <v>374</v>
      </c>
      <c r="E16" s="14" t="s">
        <v>500</v>
      </c>
      <c r="F16" s="14" t="s">
        <v>376</v>
      </c>
      <c r="G16" s="14" t="s">
        <v>501</v>
      </c>
      <c r="H16" s="14" t="s">
        <v>372</v>
      </c>
      <c r="I16" s="14" t="s">
        <v>505</v>
      </c>
      <c r="J16" s="14" t="s">
        <v>379</v>
      </c>
      <c r="K16" s="14">
        <v>235</v>
      </c>
      <c r="L16" s="14" t="s">
        <v>97</v>
      </c>
      <c r="M16" s="4">
        <f t="shared" si="0"/>
        <v>8</v>
      </c>
      <c r="N16" s="4" t="b">
        <f t="shared" si="1"/>
        <v>0</v>
      </c>
    </row>
    <row r="17" spans="1:14" x14ac:dyDescent="0.2">
      <c r="A17" s="14" t="s">
        <v>404</v>
      </c>
      <c r="B17" s="14" t="s">
        <v>372</v>
      </c>
      <c r="C17" s="14" t="s">
        <v>499</v>
      </c>
      <c r="D17" s="14" t="s">
        <v>374</v>
      </c>
      <c r="E17" s="14" t="s">
        <v>500</v>
      </c>
      <c r="F17" s="14" t="s">
        <v>376</v>
      </c>
      <c r="G17" s="14" t="s">
        <v>501</v>
      </c>
      <c r="H17" s="14" t="s">
        <v>372</v>
      </c>
      <c r="I17" s="14" t="s">
        <v>507</v>
      </c>
      <c r="J17" s="14" t="s">
        <v>379</v>
      </c>
      <c r="K17" s="14">
        <v>250</v>
      </c>
      <c r="L17" s="14" t="s">
        <v>97</v>
      </c>
      <c r="M17" s="4">
        <f t="shared" si="0"/>
        <v>10</v>
      </c>
      <c r="N17" s="4" t="b">
        <f t="shared" si="1"/>
        <v>0</v>
      </c>
    </row>
    <row r="18" spans="1:14" x14ac:dyDescent="0.2">
      <c r="A18" s="14" t="s">
        <v>406</v>
      </c>
      <c r="B18" s="14" t="s">
        <v>372</v>
      </c>
      <c r="C18" s="14" t="s">
        <v>499</v>
      </c>
      <c r="D18" s="14" t="s">
        <v>374</v>
      </c>
      <c r="E18" s="14" t="s">
        <v>500</v>
      </c>
      <c r="F18" s="14" t="s">
        <v>376</v>
      </c>
      <c r="G18" s="14" t="s">
        <v>501</v>
      </c>
      <c r="H18" s="14" t="s">
        <v>372</v>
      </c>
      <c r="I18" s="14" t="s">
        <v>509</v>
      </c>
      <c r="J18" s="14" t="s">
        <v>379</v>
      </c>
      <c r="K18" s="14">
        <v>275</v>
      </c>
      <c r="L18" s="14" t="s">
        <v>97</v>
      </c>
      <c r="M18" s="4">
        <f t="shared" si="0"/>
        <v>12</v>
      </c>
      <c r="N18" s="4" t="b">
        <f t="shared" si="1"/>
        <v>0</v>
      </c>
    </row>
    <row r="19" spans="1:14" x14ac:dyDescent="0.2">
      <c r="A19" s="14" t="s">
        <v>408</v>
      </c>
      <c r="B19" s="14" t="s">
        <v>372</v>
      </c>
      <c r="C19" s="14" t="s">
        <v>499</v>
      </c>
      <c r="D19" s="14" t="s">
        <v>374</v>
      </c>
      <c r="E19" s="14" t="s">
        <v>500</v>
      </c>
      <c r="F19" s="14" t="s">
        <v>376</v>
      </c>
      <c r="G19" s="14" t="s">
        <v>501</v>
      </c>
      <c r="H19" s="14" t="s">
        <v>372</v>
      </c>
      <c r="I19" s="14" t="s">
        <v>503</v>
      </c>
      <c r="J19" s="14" t="s">
        <v>379</v>
      </c>
      <c r="K19" s="14">
        <v>300</v>
      </c>
      <c r="L19" s="14" t="s">
        <v>97</v>
      </c>
      <c r="M19" s="4">
        <f t="shared" si="0"/>
        <v>14</v>
      </c>
      <c r="N19" s="4" t="b">
        <f t="shared" si="1"/>
        <v>0</v>
      </c>
    </row>
    <row r="20" spans="1:14" x14ac:dyDescent="0.2">
      <c r="A20" s="14" t="s">
        <v>410</v>
      </c>
      <c r="B20" s="14" t="s">
        <v>372</v>
      </c>
      <c r="C20" s="14" t="s">
        <v>499</v>
      </c>
      <c r="D20" s="14" t="s">
        <v>374</v>
      </c>
      <c r="E20" s="14" t="s">
        <v>500</v>
      </c>
      <c r="F20" s="14" t="s">
        <v>376</v>
      </c>
      <c r="G20" s="14" t="s">
        <v>501</v>
      </c>
      <c r="H20" s="14" t="s">
        <v>372</v>
      </c>
      <c r="I20" s="14" t="s">
        <v>505</v>
      </c>
      <c r="J20" s="14" t="s">
        <v>379</v>
      </c>
      <c r="K20" s="14">
        <v>325</v>
      </c>
      <c r="L20" s="14" t="s">
        <v>97</v>
      </c>
      <c r="M20" s="4">
        <f t="shared" si="0"/>
        <v>8</v>
      </c>
      <c r="N20" s="4" t="b">
        <f t="shared" si="1"/>
        <v>0</v>
      </c>
    </row>
    <row r="21" spans="1:14" x14ac:dyDescent="0.2">
      <c r="A21" s="14" t="s">
        <v>412</v>
      </c>
      <c r="B21" s="14" t="s">
        <v>372</v>
      </c>
      <c r="C21" s="14" t="s">
        <v>499</v>
      </c>
      <c r="D21" s="14" t="s">
        <v>374</v>
      </c>
      <c r="E21" s="14" t="s">
        <v>500</v>
      </c>
      <c r="F21" s="14" t="s">
        <v>376</v>
      </c>
      <c r="G21" s="14" t="s">
        <v>501</v>
      </c>
      <c r="H21" s="14" t="s">
        <v>372</v>
      </c>
      <c r="I21" s="14" t="s">
        <v>507</v>
      </c>
      <c r="J21" s="14" t="s">
        <v>379</v>
      </c>
      <c r="K21" s="14">
        <v>350</v>
      </c>
      <c r="L21" s="14" t="s">
        <v>97</v>
      </c>
      <c r="M21" s="4">
        <f t="shared" si="0"/>
        <v>10</v>
      </c>
      <c r="N21" s="4" t="str">
        <f t="shared" si="1"/>
        <v>SELECT</v>
      </c>
    </row>
    <row r="22" spans="1:14" x14ac:dyDescent="0.2">
      <c r="A22" s="14" t="s">
        <v>414</v>
      </c>
      <c r="B22" s="14" t="s">
        <v>372</v>
      </c>
      <c r="C22" s="14" t="s">
        <v>499</v>
      </c>
      <c r="D22" s="14" t="s">
        <v>374</v>
      </c>
      <c r="E22" s="14" t="s">
        <v>500</v>
      </c>
      <c r="F22" s="14" t="s">
        <v>376</v>
      </c>
      <c r="G22" s="14" t="s">
        <v>501</v>
      </c>
      <c r="H22" s="14" t="s">
        <v>372</v>
      </c>
      <c r="I22" s="14" t="s">
        <v>505</v>
      </c>
      <c r="J22" s="14" t="s">
        <v>379</v>
      </c>
      <c r="K22" s="14">
        <v>400</v>
      </c>
      <c r="L22" s="14" t="s">
        <v>97</v>
      </c>
      <c r="M22" s="4">
        <f t="shared" si="0"/>
        <v>8</v>
      </c>
      <c r="N22" s="4" t="b">
        <f t="shared" si="1"/>
        <v>0</v>
      </c>
    </row>
    <row r="23" spans="1:14" x14ac:dyDescent="0.2">
      <c r="A23" s="14" t="s">
        <v>416</v>
      </c>
      <c r="B23" s="14" t="s">
        <v>372</v>
      </c>
      <c r="C23" s="14" t="s">
        <v>499</v>
      </c>
      <c r="D23" s="14" t="s">
        <v>374</v>
      </c>
      <c r="E23" s="14" t="s">
        <v>500</v>
      </c>
      <c r="F23" s="14" t="s">
        <v>376</v>
      </c>
      <c r="G23" s="14" t="s">
        <v>501</v>
      </c>
      <c r="H23" s="14" t="s">
        <v>372</v>
      </c>
      <c r="I23" s="14" t="s">
        <v>510</v>
      </c>
      <c r="J23" s="14" t="s">
        <v>379</v>
      </c>
      <c r="K23" s="14">
        <v>450</v>
      </c>
      <c r="L23" s="14" t="s">
        <v>97</v>
      </c>
      <c r="M23" s="4">
        <f t="shared" si="0"/>
        <v>0</v>
      </c>
      <c r="N23" s="4" t="b">
        <f t="shared" si="1"/>
        <v>0</v>
      </c>
    </row>
    <row r="24" spans="1:14" x14ac:dyDescent="0.2">
      <c r="A24" s="14" t="s">
        <v>418</v>
      </c>
      <c r="B24" s="14" t="s">
        <v>372</v>
      </c>
      <c r="C24" s="14" t="s">
        <v>499</v>
      </c>
      <c r="D24" s="14" t="s">
        <v>374</v>
      </c>
      <c r="E24" s="14" t="s">
        <v>500</v>
      </c>
      <c r="F24" s="14" t="s">
        <v>376</v>
      </c>
      <c r="G24" s="14" t="s">
        <v>501</v>
      </c>
      <c r="H24" s="14" t="s">
        <v>372</v>
      </c>
      <c r="I24" s="14" t="s">
        <v>510</v>
      </c>
      <c r="J24" s="14" t="s">
        <v>379</v>
      </c>
      <c r="K24" s="14">
        <v>500</v>
      </c>
      <c r="L24" s="14" t="s">
        <v>97</v>
      </c>
      <c r="M24" s="4">
        <f t="shared" si="0"/>
        <v>0</v>
      </c>
      <c r="N24" s="4" t="b">
        <f t="shared" si="1"/>
        <v>0</v>
      </c>
    </row>
    <row r="25" spans="1:14" x14ac:dyDescent="0.2">
      <c r="A25" s="14" t="s">
        <v>420</v>
      </c>
      <c r="B25" s="14" t="s">
        <v>372</v>
      </c>
      <c r="C25" s="14" t="s">
        <v>499</v>
      </c>
      <c r="D25" s="14" t="s">
        <v>374</v>
      </c>
      <c r="E25" s="14" t="s">
        <v>500</v>
      </c>
      <c r="F25" s="14" t="s">
        <v>376</v>
      </c>
      <c r="G25" s="14" t="s">
        <v>501</v>
      </c>
      <c r="H25" s="14" t="s">
        <v>372</v>
      </c>
      <c r="I25" s="14" t="s">
        <v>510</v>
      </c>
      <c r="J25" s="14" t="s">
        <v>379</v>
      </c>
      <c r="K25" s="14">
        <v>550</v>
      </c>
      <c r="L25" s="14" t="s">
        <v>97</v>
      </c>
      <c r="M25" s="4">
        <f t="shared" si="0"/>
        <v>0</v>
      </c>
      <c r="N25" s="4" t="b">
        <f t="shared" si="1"/>
        <v>0</v>
      </c>
    </row>
    <row r="26" spans="1:14" x14ac:dyDescent="0.2">
      <c r="A26" s="14" t="s">
        <v>422</v>
      </c>
      <c r="B26" s="14" t="s">
        <v>372</v>
      </c>
      <c r="C26" s="14" t="s">
        <v>499</v>
      </c>
      <c r="D26" s="14" t="s">
        <v>374</v>
      </c>
      <c r="E26" s="14" t="s">
        <v>500</v>
      </c>
      <c r="F26" s="14" t="s">
        <v>376</v>
      </c>
      <c r="G26" s="14" t="s">
        <v>501</v>
      </c>
      <c r="H26" s="14" t="s">
        <v>372</v>
      </c>
      <c r="I26" s="14" t="s">
        <v>510</v>
      </c>
      <c r="J26" s="14" t="s">
        <v>379</v>
      </c>
      <c r="K26" s="14">
        <v>600</v>
      </c>
      <c r="L26" s="14" t="s">
        <v>97</v>
      </c>
      <c r="M26" s="4">
        <f t="shared" si="0"/>
        <v>0</v>
      </c>
      <c r="N26" s="4" t="b">
        <f t="shared" si="1"/>
        <v>0</v>
      </c>
    </row>
    <row r="27" spans="1:14" x14ac:dyDescent="0.2">
      <c r="A27" s="14" t="s">
        <v>424</v>
      </c>
      <c r="B27" s="14" t="s">
        <v>372</v>
      </c>
      <c r="C27" s="14" t="s">
        <v>499</v>
      </c>
      <c r="D27" s="14" t="s">
        <v>374</v>
      </c>
      <c r="E27" s="14" t="s">
        <v>500</v>
      </c>
      <c r="F27" s="14" t="s">
        <v>376</v>
      </c>
      <c r="G27" s="14" t="s">
        <v>501</v>
      </c>
      <c r="H27" s="14" t="s">
        <v>372</v>
      </c>
      <c r="I27" s="14" t="s">
        <v>510</v>
      </c>
      <c r="J27" s="14" t="s">
        <v>379</v>
      </c>
      <c r="K27" s="14">
        <v>650</v>
      </c>
      <c r="L27" s="14" t="s">
        <v>97</v>
      </c>
      <c r="M27" s="4">
        <f t="shared" si="0"/>
        <v>0</v>
      </c>
      <c r="N27" s="4" t="b">
        <f t="shared" si="1"/>
        <v>0</v>
      </c>
    </row>
    <row r="28" spans="1:14" x14ac:dyDescent="0.2">
      <c r="A28" s="14" t="s">
        <v>426</v>
      </c>
      <c r="B28" s="14" t="s">
        <v>372</v>
      </c>
      <c r="C28" s="14" t="s">
        <v>499</v>
      </c>
      <c r="D28" s="14" t="s">
        <v>374</v>
      </c>
      <c r="E28" s="14" t="s">
        <v>500</v>
      </c>
      <c r="F28" s="14" t="s">
        <v>376</v>
      </c>
      <c r="G28" s="14" t="s">
        <v>501</v>
      </c>
      <c r="H28" s="14" t="s">
        <v>372</v>
      </c>
      <c r="I28" s="14" t="s">
        <v>510</v>
      </c>
      <c r="J28" s="14" t="s">
        <v>379</v>
      </c>
      <c r="K28" s="14">
        <v>700</v>
      </c>
      <c r="L28" s="14" t="s">
        <v>97</v>
      </c>
      <c r="M28" s="4">
        <f t="shared" si="0"/>
        <v>0</v>
      </c>
      <c r="N28" s="4" t="b">
        <f t="shared" si="1"/>
        <v>0</v>
      </c>
    </row>
    <row r="29" spans="1:14" x14ac:dyDescent="0.2">
      <c r="A29" s="14" t="s">
        <v>428</v>
      </c>
      <c r="B29" s="14" t="s">
        <v>372</v>
      </c>
      <c r="C29" s="14" t="s">
        <v>499</v>
      </c>
      <c r="D29" s="14" t="s">
        <v>374</v>
      </c>
      <c r="E29" s="14" t="s">
        <v>500</v>
      </c>
      <c r="F29" s="14" t="s">
        <v>376</v>
      </c>
      <c r="G29" s="14" t="s">
        <v>501</v>
      </c>
      <c r="H29" s="14" t="s">
        <v>372</v>
      </c>
      <c r="I29" s="14" t="s">
        <v>510</v>
      </c>
      <c r="J29" s="14" t="s">
        <v>379</v>
      </c>
      <c r="K29" s="14">
        <v>750</v>
      </c>
      <c r="L29" s="14" t="s">
        <v>97</v>
      </c>
      <c r="M29" s="4">
        <f t="shared" si="0"/>
        <v>0</v>
      </c>
      <c r="N29" s="4" t="b">
        <f t="shared" si="1"/>
        <v>0</v>
      </c>
    </row>
    <row r="30" spans="1:14" x14ac:dyDescent="0.2">
      <c r="A30" s="14" t="s">
        <v>430</v>
      </c>
      <c r="B30" s="14" t="s">
        <v>372</v>
      </c>
      <c r="C30" s="14" t="s">
        <v>499</v>
      </c>
      <c r="D30" s="14" t="s">
        <v>374</v>
      </c>
      <c r="E30" s="14" t="s">
        <v>500</v>
      </c>
      <c r="F30" s="14" t="s">
        <v>376</v>
      </c>
      <c r="G30" s="14" t="s">
        <v>501</v>
      </c>
      <c r="H30" s="14" t="s">
        <v>372</v>
      </c>
      <c r="I30" s="14" t="s">
        <v>510</v>
      </c>
      <c r="J30" s="14" t="s">
        <v>379</v>
      </c>
      <c r="K30" s="14">
        <v>800</v>
      </c>
      <c r="L30" s="14" t="s">
        <v>97</v>
      </c>
      <c r="M30" s="4">
        <f t="shared" si="0"/>
        <v>0</v>
      </c>
      <c r="N30" s="4" t="b">
        <f t="shared" si="1"/>
        <v>0</v>
      </c>
    </row>
    <row r="31" spans="1:14" x14ac:dyDescent="0.2">
      <c r="A31" s="14" t="s">
        <v>432</v>
      </c>
      <c r="B31" s="14" t="s">
        <v>372</v>
      </c>
      <c r="C31" s="14" t="s">
        <v>499</v>
      </c>
      <c r="D31" s="14" t="s">
        <v>374</v>
      </c>
      <c r="E31" s="14" t="s">
        <v>500</v>
      </c>
      <c r="F31" s="14" t="s">
        <v>376</v>
      </c>
      <c r="G31" s="14" t="s">
        <v>501</v>
      </c>
      <c r="H31" s="14" t="s">
        <v>372</v>
      </c>
      <c r="I31" s="14" t="s">
        <v>510</v>
      </c>
      <c r="J31" s="14" t="s">
        <v>379</v>
      </c>
      <c r="K31" s="14">
        <v>850</v>
      </c>
      <c r="L31" s="14" t="s">
        <v>97</v>
      </c>
      <c r="M31" s="4">
        <f t="shared" si="0"/>
        <v>0</v>
      </c>
      <c r="N31" s="4" t="b">
        <f t="shared" si="1"/>
        <v>0</v>
      </c>
    </row>
    <row r="32" spans="1:14" x14ac:dyDescent="0.2">
      <c r="A32" s="14" t="s">
        <v>434</v>
      </c>
      <c r="B32" s="14" t="s">
        <v>372</v>
      </c>
      <c r="C32" s="14" t="s">
        <v>499</v>
      </c>
      <c r="D32" s="14" t="s">
        <v>374</v>
      </c>
      <c r="E32" s="14" t="s">
        <v>500</v>
      </c>
      <c r="F32" s="14" t="s">
        <v>376</v>
      </c>
      <c r="G32" s="14" t="s">
        <v>501</v>
      </c>
      <c r="H32" s="14" t="s">
        <v>372</v>
      </c>
      <c r="I32" s="14" t="s">
        <v>510</v>
      </c>
      <c r="J32" s="14" t="s">
        <v>379</v>
      </c>
      <c r="K32" s="14">
        <v>900</v>
      </c>
      <c r="L32" s="14" t="s">
        <v>97</v>
      </c>
      <c r="M32" s="4">
        <f t="shared" si="0"/>
        <v>0</v>
      </c>
      <c r="N32" s="4" t="b">
        <f t="shared" si="1"/>
        <v>0</v>
      </c>
    </row>
    <row r="33" spans="1:14" x14ac:dyDescent="0.2">
      <c r="A33" s="14" t="s">
        <v>436</v>
      </c>
      <c r="B33" s="14" t="s">
        <v>372</v>
      </c>
      <c r="C33" s="14" t="s">
        <v>499</v>
      </c>
      <c r="D33" s="14" t="s">
        <v>374</v>
      </c>
      <c r="E33" s="14" t="s">
        <v>500</v>
      </c>
      <c r="F33" s="14" t="s">
        <v>376</v>
      </c>
      <c r="G33" s="14" t="s">
        <v>501</v>
      </c>
      <c r="H33" s="14" t="s">
        <v>372</v>
      </c>
      <c r="I33" s="14" t="s">
        <v>510</v>
      </c>
      <c r="J33" s="14" t="s">
        <v>379</v>
      </c>
      <c r="K33" s="14">
        <v>950</v>
      </c>
      <c r="L33" s="14" t="s">
        <v>97</v>
      </c>
      <c r="M33" s="4">
        <f t="shared" si="0"/>
        <v>0</v>
      </c>
      <c r="N33" s="4" t="b">
        <f t="shared" si="1"/>
        <v>0</v>
      </c>
    </row>
    <row r="34" spans="1:14" x14ac:dyDescent="0.2">
      <c r="A34" s="14" t="s">
        <v>438</v>
      </c>
      <c r="B34" s="14" t="s">
        <v>372</v>
      </c>
      <c r="C34" s="14" t="s">
        <v>499</v>
      </c>
      <c r="D34" s="14" t="s">
        <v>374</v>
      </c>
      <c r="E34" s="14" t="s">
        <v>500</v>
      </c>
      <c r="F34" s="14" t="s">
        <v>376</v>
      </c>
      <c r="G34" s="14" t="s">
        <v>501</v>
      </c>
      <c r="H34" s="14" t="s">
        <v>372</v>
      </c>
      <c r="I34" s="14" t="s">
        <v>510</v>
      </c>
      <c r="J34" s="14" t="s">
        <v>379</v>
      </c>
      <c r="K34" s="14">
        <v>1000</v>
      </c>
      <c r="L34" s="14" t="s">
        <v>97</v>
      </c>
      <c r="M34" s="4">
        <f t="shared" si="0"/>
        <v>0</v>
      </c>
      <c r="N34" s="4" t="b">
        <f t="shared" si="1"/>
        <v>0</v>
      </c>
    </row>
    <row r="35" spans="1:14" x14ac:dyDescent="0.2">
      <c r="A35" s="14" t="s">
        <v>440</v>
      </c>
      <c r="B35" s="14" t="s">
        <v>372</v>
      </c>
      <c r="C35" s="14" t="s">
        <v>499</v>
      </c>
      <c r="D35" s="14" t="s">
        <v>374</v>
      </c>
      <c r="E35" s="14" t="s">
        <v>500</v>
      </c>
      <c r="F35" s="14" t="s">
        <v>376</v>
      </c>
      <c r="G35" s="14" t="s">
        <v>501</v>
      </c>
      <c r="H35" s="14" t="s">
        <v>372</v>
      </c>
      <c r="I35" s="14" t="s">
        <v>510</v>
      </c>
      <c r="J35" s="14" t="s">
        <v>379</v>
      </c>
      <c r="K35" s="14">
        <v>1050</v>
      </c>
      <c r="L35" s="14" t="s">
        <v>97</v>
      </c>
      <c r="M35" s="4">
        <f t="shared" si="0"/>
        <v>0</v>
      </c>
      <c r="N35" s="4" t="b">
        <f t="shared" si="1"/>
        <v>0</v>
      </c>
    </row>
    <row r="36" spans="1:14" x14ac:dyDescent="0.2">
      <c r="A36" s="14" t="s">
        <v>442</v>
      </c>
      <c r="B36" s="14" t="s">
        <v>372</v>
      </c>
      <c r="C36" s="14" t="s">
        <v>499</v>
      </c>
      <c r="D36" s="14" t="s">
        <v>374</v>
      </c>
      <c r="E36" s="14" t="s">
        <v>500</v>
      </c>
      <c r="F36" s="14" t="s">
        <v>376</v>
      </c>
      <c r="G36" s="14" t="s">
        <v>501</v>
      </c>
      <c r="H36" s="14" t="s">
        <v>372</v>
      </c>
      <c r="I36" s="14" t="s">
        <v>510</v>
      </c>
      <c r="J36" s="14" t="s">
        <v>379</v>
      </c>
      <c r="K36" s="14">
        <v>1100</v>
      </c>
      <c r="L36" s="14" t="s">
        <v>97</v>
      </c>
      <c r="M36" s="4">
        <f t="shared" si="0"/>
        <v>0</v>
      </c>
      <c r="N36" s="4" t="b">
        <f t="shared" si="1"/>
        <v>0</v>
      </c>
    </row>
    <row r="37" spans="1:14" x14ac:dyDescent="0.2">
      <c r="A37" s="14" t="s">
        <v>444</v>
      </c>
      <c r="B37" s="14" t="s">
        <v>372</v>
      </c>
      <c r="C37" s="14" t="s">
        <v>499</v>
      </c>
      <c r="D37" s="14" t="s">
        <v>374</v>
      </c>
      <c r="E37" s="14" t="s">
        <v>500</v>
      </c>
      <c r="F37" s="14" t="s">
        <v>376</v>
      </c>
      <c r="G37" s="14" t="s">
        <v>501</v>
      </c>
      <c r="H37" s="14" t="s">
        <v>372</v>
      </c>
      <c r="I37" s="14" t="s">
        <v>510</v>
      </c>
      <c r="J37" s="14" t="s">
        <v>379</v>
      </c>
      <c r="K37" s="14">
        <v>1150</v>
      </c>
      <c r="L37" s="14" t="s">
        <v>97</v>
      </c>
      <c r="M37" s="4">
        <f t="shared" si="0"/>
        <v>0</v>
      </c>
      <c r="N37" s="4" t="b">
        <f t="shared" si="1"/>
        <v>0</v>
      </c>
    </row>
    <row r="38" spans="1:14" x14ac:dyDescent="0.2">
      <c r="A38" s="14" t="s">
        <v>446</v>
      </c>
      <c r="B38" s="14" t="s">
        <v>372</v>
      </c>
      <c r="C38" s="14" t="s">
        <v>499</v>
      </c>
      <c r="D38" s="14" t="s">
        <v>374</v>
      </c>
      <c r="E38" s="14" t="s">
        <v>500</v>
      </c>
      <c r="F38" s="14" t="s">
        <v>376</v>
      </c>
      <c r="G38" s="14" t="s">
        <v>501</v>
      </c>
      <c r="H38" s="14" t="s">
        <v>372</v>
      </c>
      <c r="I38" s="14" t="s">
        <v>510</v>
      </c>
      <c r="J38" s="14" t="s">
        <v>379</v>
      </c>
      <c r="K38" s="14">
        <v>1200</v>
      </c>
      <c r="L38" s="14" t="s">
        <v>97</v>
      </c>
      <c r="M38" s="4">
        <f t="shared" si="0"/>
        <v>0</v>
      </c>
      <c r="N38" s="4" t="b">
        <f t="shared" si="1"/>
        <v>0</v>
      </c>
    </row>
    <row r="39" spans="1:14" x14ac:dyDescent="0.2">
      <c r="A39" s="14" t="s">
        <v>448</v>
      </c>
      <c r="B39" s="14" t="s">
        <v>372</v>
      </c>
      <c r="C39" s="14" t="s">
        <v>499</v>
      </c>
      <c r="D39" s="14" t="s">
        <v>374</v>
      </c>
      <c r="E39" s="14" t="s">
        <v>500</v>
      </c>
      <c r="F39" s="14" t="s">
        <v>376</v>
      </c>
      <c r="G39" s="14" t="s">
        <v>501</v>
      </c>
      <c r="H39" s="14" t="s">
        <v>372</v>
      </c>
      <c r="I39" s="14" t="s">
        <v>510</v>
      </c>
      <c r="J39" s="14" t="s">
        <v>379</v>
      </c>
      <c r="K39" s="14">
        <v>1250</v>
      </c>
      <c r="L39" s="14" t="s">
        <v>97</v>
      </c>
      <c r="M39" s="4">
        <f t="shared" si="0"/>
        <v>0</v>
      </c>
      <c r="N39" s="4" t="b">
        <f t="shared" si="1"/>
        <v>0</v>
      </c>
    </row>
    <row r="40" spans="1:14" x14ac:dyDescent="0.2">
      <c r="A40" s="14" t="s">
        <v>450</v>
      </c>
      <c r="B40" s="14" t="s">
        <v>372</v>
      </c>
      <c r="C40" s="14" t="s">
        <v>499</v>
      </c>
      <c r="D40" s="14" t="s">
        <v>374</v>
      </c>
      <c r="E40" s="14" t="s">
        <v>500</v>
      </c>
      <c r="F40" s="14" t="s">
        <v>376</v>
      </c>
      <c r="G40" s="14" t="s">
        <v>501</v>
      </c>
      <c r="H40" s="14" t="s">
        <v>372</v>
      </c>
      <c r="I40" s="14" t="s">
        <v>510</v>
      </c>
      <c r="J40" s="14" t="s">
        <v>379</v>
      </c>
      <c r="K40" s="14">
        <v>1300</v>
      </c>
      <c r="L40" s="14" t="s">
        <v>97</v>
      </c>
      <c r="M40" s="4">
        <f t="shared" si="0"/>
        <v>0</v>
      </c>
      <c r="N40" s="4" t="b">
        <f t="shared" si="1"/>
        <v>0</v>
      </c>
    </row>
    <row r="41" spans="1:14" x14ac:dyDescent="0.2">
      <c r="A41" s="14" t="s">
        <v>452</v>
      </c>
      <c r="B41" s="14" t="s">
        <v>372</v>
      </c>
      <c r="C41" s="14" t="s">
        <v>499</v>
      </c>
      <c r="D41" s="14" t="s">
        <v>374</v>
      </c>
      <c r="E41" s="14" t="s">
        <v>500</v>
      </c>
      <c r="F41" s="14" t="s">
        <v>376</v>
      </c>
      <c r="G41" s="14" t="s">
        <v>501</v>
      </c>
      <c r="H41" s="14" t="s">
        <v>372</v>
      </c>
      <c r="I41" s="14" t="s">
        <v>510</v>
      </c>
      <c r="J41" s="14" t="s">
        <v>379</v>
      </c>
      <c r="K41" s="14">
        <v>1350</v>
      </c>
      <c r="L41" s="14" t="s">
        <v>97</v>
      </c>
      <c r="M41" s="4">
        <f t="shared" si="0"/>
        <v>0</v>
      </c>
      <c r="N41" s="4" t="b">
        <f t="shared" si="1"/>
        <v>0</v>
      </c>
    </row>
    <row r="42" spans="1:14" x14ac:dyDescent="0.2">
      <c r="A42" s="14" t="s">
        <v>454</v>
      </c>
      <c r="B42" s="14" t="s">
        <v>372</v>
      </c>
      <c r="C42" s="14" t="s">
        <v>499</v>
      </c>
      <c r="D42" s="14" t="s">
        <v>374</v>
      </c>
      <c r="E42" s="14" t="s">
        <v>500</v>
      </c>
      <c r="F42" s="14" t="s">
        <v>376</v>
      </c>
      <c r="G42" s="14" t="s">
        <v>501</v>
      </c>
      <c r="H42" s="14" t="s">
        <v>372</v>
      </c>
      <c r="I42" s="14" t="s">
        <v>510</v>
      </c>
      <c r="J42" s="14" t="s">
        <v>379</v>
      </c>
      <c r="K42" s="14">
        <v>1400</v>
      </c>
      <c r="L42" s="14" t="s">
        <v>97</v>
      </c>
      <c r="M42" s="4">
        <f t="shared" si="0"/>
        <v>0</v>
      </c>
      <c r="N42" s="4" t="b">
        <f t="shared" si="1"/>
        <v>0</v>
      </c>
    </row>
    <row r="43" spans="1:14" x14ac:dyDescent="0.2">
      <c r="A43" s="14" t="s">
        <v>456</v>
      </c>
      <c r="B43" s="14" t="s">
        <v>372</v>
      </c>
      <c r="C43" s="14" t="s">
        <v>499</v>
      </c>
      <c r="D43" s="14" t="s">
        <v>374</v>
      </c>
      <c r="E43" s="14" t="s">
        <v>500</v>
      </c>
      <c r="F43" s="14" t="s">
        <v>376</v>
      </c>
      <c r="G43" s="14" t="s">
        <v>501</v>
      </c>
      <c r="H43" s="14" t="s">
        <v>372</v>
      </c>
      <c r="I43" s="14" t="s">
        <v>510</v>
      </c>
      <c r="J43" s="14" t="s">
        <v>379</v>
      </c>
      <c r="K43" s="14">
        <v>1450</v>
      </c>
      <c r="L43" s="14" t="s">
        <v>97</v>
      </c>
      <c r="M43" s="4">
        <f t="shared" si="0"/>
        <v>0</v>
      </c>
      <c r="N43" s="4" t="b">
        <f t="shared" si="1"/>
        <v>0</v>
      </c>
    </row>
    <row r="44" spans="1:14" x14ac:dyDescent="0.2">
      <c r="A44" s="14" t="s">
        <v>458</v>
      </c>
      <c r="B44" s="14" t="s">
        <v>372</v>
      </c>
      <c r="C44" s="14" t="s">
        <v>499</v>
      </c>
      <c r="D44" s="14" t="s">
        <v>374</v>
      </c>
      <c r="E44" s="14" t="s">
        <v>500</v>
      </c>
      <c r="F44" s="14" t="s">
        <v>376</v>
      </c>
      <c r="G44" s="14" t="s">
        <v>501</v>
      </c>
      <c r="H44" s="14" t="s">
        <v>372</v>
      </c>
      <c r="I44" s="14" t="s">
        <v>510</v>
      </c>
      <c r="J44" s="14" t="s">
        <v>379</v>
      </c>
      <c r="K44" s="14">
        <v>1500</v>
      </c>
      <c r="L44" s="14" t="s">
        <v>97</v>
      </c>
      <c r="M44" s="4">
        <f t="shared" si="0"/>
        <v>0</v>
      </c>
      <c r="N44" s="4" t="b">
        <f t="shared" si="1"/>
        <v>0</v>
      </c>
    </row>
    <row r="45" spans="1:14" x14ac:dyDescent="0.2">
      <c r="A45" s="14" t="s">
        <v>460</v>
      </c>
      <c r="B45" s="14" t="s">
        <v>372</v>
      </c>
      <c r="C45" s="14" t="s">
        <v>499</v>
      </c>
      <c r="D45" s="14" t="s">
        <v>374</v>
      </c>
      <c r="E45" s="14" t="s">
        <v>500</v>
      </c>
      <c r="F45" s="14" t="s">
        <v>376</v>
      </c>
      <c r="G45" s="14" t="s">
        <v>501</v>
      </c>
      <c r="H45" s="14" t="s">
        <v>372</v>
      </c>
      <c r="I45" s="14" t="s">
        <v>510</v>
      </c>
      <c r="J45" s="14" t="s">
        <v>379</v>
      </c>
      <c r="K45" s="14">
        <v>1550</v>
      </c>
      <c r="L45" s="14" t="s">
        <v>97</v>
      </c>
      <c r="M45" s="4">
        <f t="shared" si="0"/>
        <v>0</v>
      </c>
      <c r="N45" s="4" t="b">
        <f t="shared" si="1"/>
        <v>0</v>
      </c>
    </row>
    <row r="46" spans="1:14" x14ac:dyDescent="0.2">
      <c r="A46" s="14" t="s">
        <v>462</v>
      </c>
      <c r="B46" s="14" t="s">
        <v>372</v>
      </c>
      <c r="C46" s="14" t="s">
        <v>499</v>
      </c>
      <c r="D46" s="14" t="s">
        <v>374</v>
      </c>
      <c r="E46" s="14" t="s">
        <v>500</v>
      </c>
      <c r="F46" s="14" t="s">
        <v>376</v>
      </c>
      <c r="G46" s="14" t="s">
        <v>501</v>
      </c>
      <c r="H46" s="14" t="s">
        <v>372</v>
      </c>
      <c r="I46" s="14" t="s">
        <v>510</v>
      </c>
      <c r="J46" s="14" t="s">
        <v>379</v>
      </c>
      <c r="K46" s="14">
        <v>1600</v>
      </c>
      <c r="L46" s="14" t="s">
        <v>97</v>
      </c>
      <c r="M46" s="4">
        <f t="shared" si="0"/>
        <v>0</v>
      </c>
      <c r="N46" s="4" t="b">
        <f t="shared" si="1"/>
        <v>0</v>
      </c>
    </row>
    <row r="47" spans="1:14" x14ac:dyDescent="0.2">
      <c r="A47" s="14" t="s">
        <v>464</v>
      </c>
      <c r="B47" s="14" t="s">
        <v>372</v>
      </c>
      <c r="C47" s="14" t="s">
        <v>499</v>
      </c>
      <c r="D47" s="14" t="s">
        <v>374</v>
      </c>
      <c r="E47" s="14" t="s">
        <v>500</v>
      </c>
      <c r="F47" s="14" t="s">
        <v>376</v>
      </c>
      <c r="G47" s="14" t="s">
        <v>501</v>
      </c>
      <c r="H47" s="14" t="s">
        <v>372</v>
      </c>
      <c r="I47" s="14" t="s">
        <v>510</v>
      </c>
      <c r="J47" s="14" t="s">
        <v>379</v>
      </c>
      <c r="K47" s="14">
        <v>1650</v>
      </c>
      <c r="L47" s="14" t="s">
        <v>97</v>
      </c>
      <c r="M47" s="4">
        <f t="shared" si="0"/>
        <v>0</v>
      </c>
      <c r="N47" s="4" t="b">
        <f t="shared" si="1"/>
        <v>0</v>
      </c>
    </row>
    <row r="48" spans="1:14" x14ac:dyDescent="0.2">
      <c r="A48" s="14" t="s">
        <v>466</v>
      </c>
      <c r="B48" s="14" t="s">
        <v>372</v>
      </c>
      <c r="C48" s="14" t="s">
        <v>499</v>
      </c>
      <c r="D48" s="14" t="s">
        <v>374</v>
      </c>
      <c r="E48" s="14" t="s">
        <v>500</v>
      </c>
      <c r="F48" s="14" t="s">
        <v>376</v>
      </c>
      <c r="G48" s="14" t="s">
        <v>501</v>
      </c>
      <c r="H48" s="14" t="s">
        <v>372</v>
      </c>
      <c r="I48" s="14" t="s">
        <v>510</v>
      </c>
      <c r="J48" s="14" t="s">
        <v>379</v>
      </c>
      <c r="K48" s="14">
        <v>1700</v>
      </c>
      <c r="L48" s="14" t="s">
        <v>97</v>
      </c>
      <c r="M48" s="4">
        <f t="shared" si="0"/>
        <v>0</v>
      </c>
      <c r="N48" s="4" t="b">
        <f t="shared" si="1"/>
        <v>0</v>
      </c>
    </row>
    <row r="49" spans="1:14" x14ac:dyDescent="0.2">
      <c r="A49" s="14" t="s">
        <v>468</v>
      </c>
      <c r="B49" s="14" t="s">
        <v>372</v>
      </c>
      <c r="C49" s="14" t="s">
        <v>499</v>
      </c>
      <c r="D49" s="14" t="s">
        <v>374</v>
      </c>
      <c r="E49" s="14" t="s">
        <v>500</v>
      </c>
      <c r="F49" s="14" t="s">
        <v>376</v>
      </c>
      <c r="G49" s="14" t="s">
        <v>501</v>
      </c>
      <c r="H49" s="14" t="s">
        <v>372</v>
      </c>
      <c r="I49" s="14" t="s">
        <v>510</v>
      </c>
      <c r="J49" s="14" t="s">
        <v>379</v>
      </c>
      <c r="K49" s="14">
        <v>1750</v>
      </c>
      <c r="L49" s="14" t="s">
        <v>97</v>
      </c>
      <c r="M49" s="4">
        <f t="shared" si="0"/>
        <v>0</v>
      </c>
      <c r="N49" s="4" t="b">
        <f t="shared" si="1"/>
        <v>0</v>
      </c>
    </row>
    <row r="50" spans="1:14" x14ac:dyDescent="0.2">
      <c r="A50" s="14" t="s">
        <v>470</v>
      </c>
      <c r="B50" s="14" t="s">
        <v>372</v>
      </c>
      <c r="C50" s="14" t="s">
        <v>499</v>
      </c>
      <c r="D50" s="14" t="s">
        <v>374</v>
      </c>
      <c r="E50" s="14" t="s">
        <v>500</v>
      </c>
      <c r="F50" s="14" t="s">
        <v>376</v>
      </c>
      <c r="G50" s="14" t="s">
        <v>501</v>
      </c>
      <c r="H50" s="14" t="s">
        <v>372</v>
      </c>
      <c r="I50" s="14" t="s">
        <v>510</v>
      </c>
      <c r="J50" s="14" t="s">
        <v>379</v>
      </c>
      <c r="K50" s="14">
        <v>1800</v>
      </c>
      <c r="L50" s="14" t="s">
        <v>97</v>
      </c>
      <c r="M50" s="4">
        <f t="shared" si="0"/>
        <v>0</v>
      </c>
      <c r="N50" s="4" t="b">
        <f t="shared" si="1"/>
        <v>0</v>
      </c>
    </row>
    <row r="51" spans="1:14" x14ac:dyDescent="0.2">
      <c r="A51" s="14" t="s">
        <v>472</v>
      </c>
      <c r="B51" s="14" t="s">
        <v>372</v>
      </c>
      <c r="C51" s="14" t="s">
        <v>499</v>
      </c>
      <c r="D51" s="14" t="s">
        <v>374</v>
      </c>
      <c r="E51" s="14" t="s">
        <v>500</v>
      </c>
      <c r="F51" s="14" t="s">
        <v>376</v>
      </c>
      <c r="G51" s="14" t="s">
        <v>501</v>
      </c>
      <c r="H51" s="14" t="s">
        <v>372</v>
      </c>
      <c r="I51" s="14" t="s">
        <v>510</v>
      </c>
      <c r="J51" s="14" t="s">
        <v>379</v>
      </c>
      <c r="K51" s="14">
        <v>1850</v>
      </c>
      <c r="L51" s="14" t="s">
        <v>97</v>
      </c>
      <c r="M51" s="4">
        <f t="shared" si="0"/>
        <v>0</v>
      </c>
      <c r="N51" s="4" t="b">
        <f t="shared" si="1"/>
        <v>0</v>
      </c>
    </row>
    <row r="52" spans="1:14" x14ac:dyDescent="0.2">
      <c r="A52" s="14" t="s">
        <v>474</v>
      </c>
      <c r="B52" s="14" t="s">
        <v>372</v>
      </c>
      <c r="C52" s="14" t="s">
        <v>499</v>
      </c>
      <c r="D52" s="14" t="s">
        <v>374</v>
      </c>
      <c r="E52" s="14" t="s">
        <v>500</v>
      </c>
      <c r="F52" s="14" t="s">
        <v>376</v>
      </c>
      <c r="G52" s="14" t="s">
        <v>501</v>
      </c>
      <c r="H52" s="14" t="s">
        <v>372</v>
      </c>
      <c r="I52" s="14" t="s">
        <v>510</v>
      </c>
      <c r="J52" s="14" t="s">
        <v>379</v>
      </c>
      <c r="K52" s="14">
        <v>1900</v>
      </c>
      <c r="L52" s="14" t="s">
        <v>97</v>
      </c>
      <c r="M52" s="4">
        <f t="shared" si="0"/>
        <v>0</v>
      </c>
      <c r="N52" s="4" t="b">
        <f t="shared" si="1"/>
        <v>0</v>
      </c>
    </row>
    <row r="53" spans="1:14" x14ac:dyDescent="0.2">
      <c r="A53" s="14" t="s">
        <v>476</v>
      </c>
      <c r="B53" s="14" t="s">
        <v>372</v>
      </c>
      <c r="C53" s="14" t="s">
        <v>499</v>
      </c>
      <c r="D53" s="14" t="s">
        <v>374</v>
      </c>
      <c r="E53" s="14" t="s">
        <v>500</v>
      </c>
      <c r="F53" s="14" t="s">
        <v>376</v>
      </c>
      <c r="G53" s="14" t="s">
        <v>501</v>
      </c>
      <c r="H53" s="14" t="s">
        <v>372</v>
      </c>
      <c r="I53" s="14" t="s">
        <v>510</v>
      </c>
      <c r="J53" s="14" t="s">
        <v>379</v>
      </c>
      <c r="K53" s="14">
        <v>1950</v>
      </c>
      <c r="L53" s="14" t="s">
        <v>97</v>
      </c>
      <c r="M53" s="4">
        <f t="shared" si="0"/>
        <v>0</v>
      </c>
      <c r="N53" s="4" t="b">
        <f t="shared" si="1"/>
        <v>0</v>
      </c>
    </row>
    <row r="54" spans="1:14" x14ac:dyDescent="0.2">
      <c r="A54" s="14" t="s">
        <v>478</v>
      </c>
      <c r="B54" s="14" t="s">
        <v>372</v>
      </c>
      <c r="C54" s="14" t="s">
        <v>499</v>
      </c>
      <c r="D54" s="14" t="s">
        <v>374</v>
      </c>
      <c r="E54" s="14" t="s">
        <v>500</v>
      </c>
      <c r="F54" s="14" t="s">
        <v>376</v>
      </c>
      <c r="G54" s="14" t="s">
        <v>501</v>
      </c>
      <c r="H54" s="14" t="s">
        <v>372</v>
      </c>
      <c r="I54" s="14" t="s">
        <v>510</v>
      </c>
      <c r="J54" s="14" t="s">
        <v>379</v>
      </c>
      <c r="K54" s="14">
        <v>2000</v>
      </c>
      <c r="L54" s="14" t="s">
        <v>97</v>
      </c>
      <c r="M54" s="4">
        <f t="shared" si="0"/>
        <v>0</v>
      </c>
      <c r="N54" s="4" t="b">
        <f t="shared" si="1"/>
        <v>0</v>
      </c>
    </row>
    <row r="55" spans="1:14" x14ac:dyDescent="0.2">
      <c r="A55" s="14" t="s">
        <v>480</v>
      </c>
      <c r="B55" s="14" t="s">
        <v>372</v>
      </c>
      <c r="C55" s="14" t="s">
        <v>499</v>
      </c>
      <c r="D55" s="14" t="s">
        <v>374</v>
      </c>
      <c r="E55" s="14" t="s">
        <v>500</v>
      </c>
      <c r="F55" s="14" t="s">
        <v>376</v>
      </c>
      <c r="G55" s="14" t="s">
        <v>501</v>
      </c>
      <c r="H55" s="14" t="s">
        <v>372</v>
      </c>
      <c r="I55" s="14" t="s">
        <v>510</v>
      </c>
      <c r="J55" s="14" t="s">
        <v>379</v>
      </c>
      <c r="K55" s="14">
        <v>2050</v>
      </c>
      <c r="L55" s="14" t="s">
        <v>97</v>
      </c>
      <c r="M55" s="4">
        <f t="shared" si="0"/>
        <v>0</v>
      </c>
      <c r="N55" s="4" t="b">
        <f t="shared" si="1"/>
        <v>0</v>
      </c>
    </row>
    <row r="56" spans="1:14" x14ac:dyDescent="0.2">
      <c r="A56" s="14" t="s">
        <v>482</v>
      </c>
      <c r="B56" s="14" t="s">
        <v>372</v>
      </c>
      <c r="C56" s="14" t="s">
        <v>499</v>
      </c>
      <c r="D56" s="14" t="s">
        <v>374</v>
      </c>
      <c r="E56" s="14" t="s">
        <v>500</v>
      </c>
      <c r="F56" s="14" t="s">
        <v>376</v>
      </c>
      <c r="G56" s="14" t="s">
        <v>501</v>
      </c>
      <c r="H56" s="14" t="s">
        <v>372</v>
      </c>
      <c r="I56" s="14" t="s">
        <v>510</v>
      </c>
      <c r="J56" s="14" t="s">
        <v>379</v>
      </c>
      <c r="K56" s="14">
        <v>2100</v>
      </c>
      <c r="L56" s="14" t="s">
        <v>97</v>
      </c>
      <c r="M56" s="4">
        <f t="shared" si="0"/>
        <v>0</v>
      </c>
      <c r="N56" s="4" t="b">
        <f t="shared" si="1"/>
        <v>0</v>
      </c>
    </row>
    <row r="57" spans="1:14" x14ac:dyDescent="0.2">
      <c r="A57" s="14" t="s">
        <v>484</v>
      </c>
      <c r="B57" s="14" t="s">
        <v>372</v>
      </c>
      <c r="C57" s="14" t="s">
        <v>499</v>
      </c>
      <c r="D57" s="14" t="s">
        <v>374</v>
      </c>
      <c r="E57" s="14" t="s">
        <v>500</v>
      </c>
      <c r="F57" s="14" t="s">
        <v>376</v>
      </c>
      <c r="G57" s="14" t="s">
        <v>501</v>
      </c>
      <c r="H57" s="14" t="s">
        <v>372</v>
      </c>
      <c r="I57" s="14" t="s">
        <v>510</v>
      </c>
      <c r="J57" s="14" t="s">
        <v>379</v>
      </c>
      <c r="K57" s="14">
        <v>2150</v>
      </c>
      <c r="L57" s="14" t="s">
        <v>97</v>
      </c>
      <c r="M57" s="4">
        <f t="shared" si="0"/>
        <v>0</v>
      </c>
      <c r="N57" s="4" t="b">
        <f t="shared" si="1"/>
        <v>0</v>
      </c>
    </row>
    <row r="58" spans="1:14" x14ac:dyDescent="0.2">
      <c r="A58" s="14" t="s">
        <v>486</v>
      </c>
      <c r="B58" s="14" t="s">
        <v>372</v>
      </c>
      <c r="C58" s="14" t="s">
        <v>499</v>
      </c>
      <c r="D58" s="14" t="s">
        <v>374</v>
      </c>
      <c r="E58" s="14" t="s">
        <v>500</v>
      </c>
      <c r="F58" s="14" t="s">
        <v>376</v>
      </c>
      <c r="G58" s="14" t="s">
        <v>501</v>
      </c>
      <c r="H58" s="14" t="s">
        <v>372</v>
      </c>
      <c r="I58" s="14" t="s">
        <v>510</v>
      </c>
      <c r="J58" s="14" t="s">
        <v>379</v>
      </c>
      <c r="K58" s="14">
        <v>2200</v>
      </c>
      <c r="L58" s="14" t="s">
        <v>97</v>
      </c>
      <c r="M58" s="4">
        <f t="shared" si="0"/>
        <v>0</v>
      </c>
      <c r="N58" s="4" t="b">
        <f t="shared" si="1"/>
        <v>0</v>
      </c>
    </row>
    <row r="59" spans="1:14" x14ac:dyDescent="0.2">
      <c r="A59" s="14" t="s">
        <v>488</v>
      </c>
      <c r="B59" s="14" t="s">
        <v>372</v>
      </c>
      <c r="C59" s="14" t="s">
        <v>499</v>
      </c>
      <c r="D59" s="14" t="s">
        <v>374</v>
      </c>
      <c r="E59" s="14" t="s">
        <v>500</v>
      </c>
      <c r="F59" s="14" t="s">
        <v>376</v>
      </c>
      <c r="G59" s="14" t="s">
        <v>501</v>
      </c>
      <c r="H59" s="14" t="s">
        <v>372</v>
      </c>
      <c r="I59" s="14" t="s">
        <v>510</v>
      </c>
      <c r="J59" s="14" t="s">
        <v>379</v>
      </c>
      <c r="K59" s="14">
        <v>2250</v>
      </c>
      <c r="L59" s="14" t="s">
        <v>97</v>
      </c>
      <c r="M59" s="4">
        <f t="shared" si="0"/>
        <v>0</v>
      </c>
      <c r="N59" s="4" t="b">
        <f t="shared" si="1"/>
        <v>0</v>
      </c>
    </row>
    <row r="60" spans="1:14" x14ac:dyDescent="0.2">
      <c r="A60" s="14" t="s">
        <v>490</v>
      </c>
      <c r="B60" s="14" t="s">
        <v>372</v>
      </c>
      <c r="C60" s="14" t="s">
        <v>499</v>
      </c>
      <c r="D60" s="14" t="s">
        <v>374</v>
      </c>
      <c r="E60" s="14" t="s">
        <v>500</v>
      </c>
      <c r="F60" s="14" t="s">
        <v>376</v>
      </c>
      <c r="G60" s="14" t="s">
        <v>501</v>
      </c>
      <c r="H60" s="14" t="s">
        <v>372</v>
      </c>
      <c r="I60" s="14" t="s">
        <v>510</v>
      </c>
      <c r="J60" s="14" t="s">
        <v>379</v>
      </c>
      <c r="K60" s="14">
        <v>2300</v>
      </c>
      <c r="L60" s="14" t="s">
        <v>97</v>
      </c>
      <c r="M60" s="4">
        <f t="shared" si="0"/>
        <v>0</v>
      </c>
      <c r="N60" s="4" t="b">
        <f t="shared" si="1"/>
        <v>0</v>
      </c>
    </row>
    <row r="61" spans="1:14" x14ac:dyDescent="0.2">
      <c r="A61" s="14" t="s">
        <v>492</v>
      </c>
      <c r="B61" s="14" t="s">
        <v>372</v>
      </c>
      <c r="C61" s="14" t="s">
        <v>499</v>
      </c>
      <c r="D61" s="14" t="s">
        <v>374</v>
      </c>
      <c r="E61" s="14" t="s">
        <v>500</v>
      </c>
      <c r="F61" s="14" t="s">
        <v>376</v>
      </c>
      <c r="G61" s="14" t="s">
        <v>501</v>
      </c>
      <c r="H61" s="14" t="s">
        <v>372</v>
      </c>
      <c r="I61" s="14" t="s">
        <v>510</v>
      </c>
      <c r="J61" s="14" t="s">
        <v>379</v>
      </c>
      <c r="K61" s="14">
        <v>2350</v>
      </c>
      <c r="L61" s="14" t="s">
        <v>97</v>
      </c>
      <c r="M61" s="4">
        <f t="shared" si="0"/>
        <v>0</v>
      </c>
      <c r="N61" s="4" t="b">
        <f t="shared" si="1"/>
        <v>0</v>
      </c>
    </row>
    <row r="62" spans="1:14" x14ac:dyDescent="0.2">
      <c r="A62" s="14" t="s">
        <v>494</v>
      </c>
      <c r="B62" s="14" t="s">
        <v>372</v>
      </c>
      <c r="C62" s="14" t="s">
        <v>499</v>
      </c>
      <c r="D62" s="14" t="s">
        <v>374</v>
      </c>
      <c r="E62" s="14" t="s">
        <v>500</v>
      </c>
      <c r="F62" s="14" t="s">
        <v>376</v>
      </c>
      <c r="G62" s="14" t="s">
        <v>501</v>
      </c>
      <c r="H62" s="14" t="s">
        <v>372</v>
      </c>
      <c r="I62" s="14" t="s">
        <v>510</v>
      </c>
      <c r="J62" s="14" t="s">
        <v>379</v>
      </c>
      <c r="K62" s="14">
        <v>2400</v>
      </c>
      <c r="L62" s="14" t="s">
        <v>97</v>
      </c>
      <c r="M62" s="4">
        <f t="shared" si="0"/>
        <v>0</v>
      </c>
      <c r="N62" s="4" t="b">
        <f t="shared" si="1"/>
        <v>0</v>
      </c>
    </row>
    <row r="63" spans="1:14" x14ac:dyDescent="0.2">
      <c r="A63" s="14" t="s">
        <v>495</v>
      </c>
      <c r="B63" s="14" t="s">
        <v>372</v>
      </c>
      <c r="C63" s="14" t="s">
        <v>499</v>
      </c>
      <c r="D63" s="14" t="s">
        <v>374</v>
      </c>
      <c r="E63" s="14" t="s">
        <v>500</v>
      </c>
      <c r="F63" s="14" t="s">
        <v>376</v>
      </c>
      <c r="G63" s="14" t="s">
        <v>501</v>
      </c>
      <c r="H63" s="14" t="s">
        <v>372</v>
      </c>
      <c r="I63" s="14" t="s">
        <v>510</v>
      </c>
      <c r="J63" s="14" t="s">
        <v>379</v>
      </c>
      <c r="K63" s="14">
        <v>2450</v>
      </c>
      <c r="L63" s="14" t="s">
        <v>97</v>
      </c>
      <c r="M63" s="4">
        <f t="shared" si="0"/>
        <v>0</v>
      </c>
      <c r="N63" s="4" t="b">
        <f t="shared" si="1"/>
        <v>0</v>
      </c>
    </row>
    <row r="64" spans="1:14" x14ac:dyDescent="0.2">
      <c r="A64" s="14" t="s">
        <v>496</v>
      </c>
      <c r="B64" s="14" t="s">
        <v>372</v>
      </c>
      <c r="C64" s="14" t="s">
        <v>499</v>
      </c>
      <c r="D64" s="14" t="s">
        <v>374</v>
      </c>
      <c r="E64" s="14" t="s">
        <v>500</v>
      </c>
      <c r="F64" s="14" t="s">
        <v>376</v>
      </c>
      <c r="G64" s="14" t="s">
        <v>501</v>
      </c>
      <c r="H64" s="14" t="s">
        <v>372</v>
      </c>
      <c r="I64" s="14" t="s">
        <v>510</v>
      </c>
      <c r="J64" s="14" t="s">
        <v>379</v>
      </c>
      <c r="K64" s="14">
        <v>2500</v>
      </c>
      <c r="L64" s="14" t="s">
        <v>97</v>
      </c>
      <c r="M64" s="4">
        <f t="shared" si="0"/>
        <v>0</v>
      </c>
      <c r="N64" s="4" t="b">
        <f t="shared" si="1"/>
        <v>0</v>
      </c>
    </row>
  </sheetData>
  <phoneticPr fontId="6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workbookViewId="0">
      <selection activeCell="P2" sqref="P2"/>
    </sheetView>
  </sheetViews>
  <sheetFormatPr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511</v>
      </c>
      <c r="O1" s="4" t="s">
        <v>370</v>
      </c>
      <c r="P1" s="161">
        <f>'SDM439 DPHY timing'!B3</f>
        <v>390</v>
      </c>
      <c r="Q1" s="4"/>
      <c r="R1" s="4" t="s">
        <v>497</v>
      </c>
      <c r="S1" s="4">
        <f>LOOKUP("SELECT",N2:N64,M2:M64)</f>
        <v>8</v>
      </c>
    </row>
    <row r="2" spans="1:19" x14ac:dyDescent="0.2">
      <c r="A2" s="14" t="s">
        <v>371</v>
      </c>
      <c r="B2" s="14" t="s">
        <v>372</v>
      </c>
      <c r="C2" s="14" t="s">
        <v>512</v>
      </c>
      <c r="D2" s="14" t="s">
        <v>374</v>
      </c>
      <c r="E2" s="14" t="s">
        <v>513</v>
      </c>
      <c r="F2" s="14" t="s">
        <v>376</v>
      </c>
      <c r="G2" s="14" t="s">
        <v>514</v>
      </c>
      <c r="H2" s="14" t="s">
        <v>372</v>
      </c>
      <c r="I2" s="14" t="s">
        <v>508</v>
      </c>
      <c r="J2" s="14" t="s">
        <v>379</v>
      </c>
      <c r="K2" s="14">
        <v>80</v>
      </c>
      <c r="L2" s="14" t="s">
        <v>97</v>
      </c>
      <c r="M2" s="4">
        <f>IF(_xlfn.NUMBERVALUE(MID(I2,5,1))=1,8,0)+_xlfn.NUMBERVALUE(MID(I2,10,1))</f>
        <v>11</v>
      </c>
      <c r="N2" s="4" t="b">
        <f>IF($P$1&gt;=K2,IF($P$1&lt;K3,"SELECT"))</f>
        <v>0</v>
      </c>
    </row>
    <row r="3" spans="1:19" x14ac:dyDescent="0.2">
      <c r="A3" s="14" t="s">
        <v>380</v>
      </c>
      <c r="B3" s="14" t="s">
        <v>372</v>
      </c>
      <c r="C3" s="14" t="s">
        <v>512</v>
      </c>
      <c r="D3" s="14" t="s">
        <v>374</v>
      </c>
      <c r="E3" s="14" t="s">
        <v>513</v>
      </c>
      <c r="F3" s="14" t="s">
        <v>376</v>
      </c>
      <c r="G3" s="14" t="s">
        <v>514</v>
      </c>
      <c r="H3" s="14" t="s">
        <v>372</v>
      </c>
      <c r="I3" s="14" t="s">
        <v>509</v>
      </c>
      <c r="J3" s="14" t="s">
        <v>379</v>
      </c>
      <c r="K3" s="14">
        <v>90</v>
      </c>
      <c r="L3" s="14" t="s">
        <v>97</v>
      </c>
      <c r="M3" s="4">
        <f t="shared" ref="M3:M64" si="0">IF(_xlfn.NUMBERVALUE(MID(I3,5,1))=1,8,0)+_xlfn.NUMBERVALUE(MID(I3,10,1))</f>
        <v>12</v>
      </c>
      <c r="N3" s="4" t="b">
        <f t="shared" ref="N3:N64" si="1">IF($P$1&gt;=K3,IF($P$1&lt;K4,"SELECT"))</f>
        <v>0</v>
      </c>
    </row>
    <row r="4" spans="1:19" x14ac:dyDescent="0.2">
      <c r="A4" s="14" t="s">
        <v>382</v>
      </c>
      <c r="B4" s="14" t="s">
        <v>372</v>
      </c>
      <c r="C4" s="14" t="s">
        <v>512</v>
      </c>
      <c r="D4" s="14" t="s">
        <v>374</v>
      </c>
      <c r="E4" s="14" t="s">
        <v>513</v>
      </c>
      <c r="F4" s="14" t="s">
        <v>376</v>
      </c>
      <c r="G4" s="14" t="s">
        <v>514</v>
      </c>
      <c r="H4" s="14" t="s">
        <v>372</v>
      </c>
      <c r="I4" s="14" t="s">
        <v>509</v>
      </c>
      <c r="J4" s="14" t="s">
        <v>379</v>
      </c>
      <c r="K4" s="14">
        <v>100</v>
      </c>
      <c r="L4" s="14" t="s">
        <v>97</v>
      </c>
      <c r="M4" s="4">
        <f t="shared" si="0"/>
        <v>12</v>
      </c>
      <c r="N4" s="4" t="b">
        <f t="shared" si="1"/>
        <v>0</v>
      </c>
    </row>
    <row r="5" spans="1:19" x14ac:dyDescent="0.2">
      <c r="A5" s="14" t="s">
        <v>383</v>
      </c>
      <c r="B5" s="14" t="s">
        <v>372</v>
      </c>
      <c r="C5" s="14" t="s">
        <v>512</v>
      </c>
      <c r="D5" s="14" t="s">
        <v>374</v>
      </c>
      <c r="E5" s="14" t="s">
        <v>513</v>
      </c>
      <c r="F5" s="14" t="s">
        <v>376</v>
      </c>
      <c r="G5" s="14" t="s">
        <v>514</v>
      </c>
      <c r="H5" s="14" t="s">
        <v>372</v>
      </c>
      <c r="I5" s="14" t="s">
        <v>509</v>
      </c>
      <c r="J5" s="14" t="s">
        <v>379</v>
      </c>
      <c r="K5" s="14">
        <v>110</v>
      </c>
      <c r="L5" s="14" t="s">
        <v>97</v>
      </c>
      <c r="M5" s="4">
        <f t="shared" si="0"/>
        <v>12</v>
      </c>
      <c r="N5" s="4" t="b">
        <f t="shared" si="1"/>
        <v>0</v>
      </c>
    </row>
    <row r="6" spans="1:19" x14ac:dyDescent="0.2">
      <c r="A6" s="14" t="s">
        <v>385</v>
      </c>
      <c r="B6" s="14" t="s">
        <v>372</v>
      </c>
      <c r="C6" s="14" t="s">
        <v>512</v>
      </c>
      <c r="D6" s="14" t="s">
        <v>374</v>
      </c>
      <c r="E6" s="14" t="s">
        <v>513</v>
      </c>
      <c r="F6" s="14" t="s">
        <v>376</v>
      </c>
      <c r="G6" s="14" t="s">
        <v>514</v>
      </c>
      <c r="H6" s="14" t="s">
        <v>372</v>
      </c>
      <c r="I6" s="14" t="s">
        <v>502</v>
      </c>
      <c r="J6" s="14" t="s">
        <v>379</v>
      </c>
      <c r="K6" s="14">
        <v>120</v>
      </c>
      <c r="L6" s="14" t="s">
        <v>97</v>
      </c>
      <c r="M6" s="4">
        <f t="shared" si="0"/>
        <v>13</v>
      </c>
      <c r="N6" s="4" t="b">
        <f t="shared" si="1"/>
        <v>0</v>
      </c>
    </row>
    <row r="7" spans="1:19" x14ac:dyDescent="0.2">
      <c r="A7" s="14" t="s">
        <v>387</v>
      </c>
      <c r="B7" s="14" t="s">
        <v>372</v>
      </c>
      <c r="C7" s="14" t="s">
        <v>512</v>
      </c>
      <c r="D7" s="14" t="s">
        <v>374</v>
      </c>
      <c r="E7" s="14" t="s">
        <v>513</v>
      </c>
      <c r="F7" s="14" t="s">
        <v>376</v>
      </c>
      <c r="G7" s="14" t="s">
        <v>514</v>
      </c>
      <c r="H7" s="14" t="s">
        <v>372</v>
      </c>
      <c r="I7" s="14" t="s">
        <v>503</v>
      </c>
      <c r="J7" s="14" t="s">
        <v>379</v>
      </c>
      <c r="K7" s="14">
        <v>130</v>
      </c>
      <c r="L7" s="14" t="s">
        <v>97</v>
      </c>
      <c r="M7" s="4">
        <f t="shared" si="0"/>
        <v>14</v>
      </c>
      <c r="N7" s="4" t="b">
        <f t="shared" si="1"/>
        <v>0</v>
      </c>
    </row>
    <row r="8" spans="1:19" x14ac:dyDescent="0.2">
      <c r="A8" s="14" t="s">
        <v>388</v>
      </c>
      <c r="B8" s="14" t="s">
        <v>372</v>
      </c>
      <c r="C8" s="14" t="s">
        <v>512</v>
      </c>
      <c r="D8" s="14" t="s">
        <v>374</v>
      </c>
      <c r="E8" s="14" t="s">
        <v>513</v>
      </c>
      <c r="F8" s="14" t="s">
        <v>376</v>
      </c>
      <c r="G8" s="14" t="s">
        <v>514</v>
      </c>
      <c r="H8" s="14" t="s">
        <v>372</v>
      </c>
      <c r="I8" s="14" t="s">
        <v>504</v>
      </c>
      <c r="J8" s="14" t="s">
        <v>379</v>
      </c>
      <c r="K8" s="14">
        <v>140</v>
      </c>
      <c r="L8" s="14" t="s">
        <v>97</v>
      </c>
      <c r="M8" s="4">
        <f t="shared" si="0"/>
        <v>15</v>
      </c>
      <c r="N8" s="4" t="b">
        <f t="shared" si="1"/>
        <v>0</v>
      </c>
    </row>
    <row r="9" spans="1:19" x14ac:dyDescent="0.2">
      <c r="A9" s="14" t="s">
        <v>390</v>
      </c>
      <c r="B9" s="14" t="s">
        <v>372</v>
      </c>
      <c r="C9" s="14" t="s">
        <v>512</v>
      </c>
      <c r="D9" s="14" t="s">
        <v>374</v>
      </c>
      <c r="E9" s="14" t="s">
        <v>513</v>
      </c>
      <c r="F9" s="14" t="s">
        <v>376</v>
      </c>
      <c r="G9" s="14" t="s">
        <v>514</v>
      </c>
      <c r="H9" s="14" t="s">
        <v>372</v>
      </c>
      <c r="I9" s="14" t="s">
        <v>504</v>
      </c>
      <c r="J9" s="14" t="s">
        <v>379</v>
      </c>
      <c r="K9" s="14">
        <v>150</v>
      </c>
      <c r="L9" s="14" t="s">
        <v>97</v>
      </c>
      <c r="M9" s="4">
        <f t="shared" si="0"/>
        <v>15</v>
      </c>
      <c r="N9" s="4" t="b">
        <f t="shared" si="1"/>
        <v>0</v>
      </c>
    </row>
    <row r="10" spans="1:19" x14ac:dyDescent="0.2">
      <c r="A10" s="14" t="s">
        <v>392</v>
      </c>
      <c r="B10" s="14" t="s">
        <v>372</v>
      </c>
      <c r="C10" s="14" t="s">
        <v>512</v>
      </c>
      <c r="D10" s="14" t="s">
        <v>374</v>
      </c>
      <c r="E10" s="14" t="s">
        <v>513</v>
      </c>
      <c r="F10" s="14" t="s">
        <v>376</v>
      </c>
      <c r="G10" s="14" t="s">
        <v>514</v>
      </c>
      <c r="H10" s="14" t="s">
        <v>372</v>
      </c>
      <c r="I10" s="14" t="s">
        <v>505</v>
      </c>
      <c r="J10" s="14" t="s">
        <v>379</v>
      </c>
      <c r="K10" s="14">
        <v>160</v>
      </c>
      <c r="L10" s="14" t="s">
        <v>97</v>
      </c>
      <c r="M10" s="4">
        <f t="shared" si="0"/>
        <v>8</v>
      </c>
      <c r="N10" s="4" t="b">
        <f t="shared" si="1"/>
        <v>0</v>
      </c>
    </row>
    <row r="11" spans="1:19" x14ac:dyDescent="0.2">
      <c r="A11" s="14" t="s">
        <v>393</v>
      </c>
      <c r="B11" s="14" t="s">
        <v>372</v>
      </c>
      <c r="C11" s="14" t="s">
        <v>512</v>
      </c>
      <c r="D11" s="14" t="s">
        <v>374</v>
      </c>
      <c r="E11" s="14" t="s">
        <v>513</v>
      </c>
      <c r="F11" s="14" t="s">
        <v>376</v>
      </c>
      <c r="G11" s="14" t="s">
        <v>514</v>
      </c>
      <c r="H11" s="14" t="s">
        <v>372</v>
      </c>
      <c r="I11" s="14" t="s">
        <v>506</v>
      </c>
      <c r="J11" s="14" t="s">
        <v>379</v>
      </c>
      <c r="K11" s="14">
        <v>170</v>
      </c>
      <c r="L11" s="14" t="s">
        <v>97</v>
      </c>
      <c r="M11" s="4">
        <f t="shared" si="0"/>
        <v>9</v>
      </c>
      <c r="N11" s="4" t="b">
        <f t="shared" si="1"/>
        <v>0</v>
      </c>
    </row>
    <row r="12" spans="1:19" x14ac:dyDescent="0.2">
      <c r="A12" s="14" t="s">
        <v>395</v>
      </c>
      <c r="B12" s="14" t="s">
        <v>372</v>
      </c>
      <c r="C12" s="14" t="s">
        <v>512</v>
      </c>
      <c r="D12" s="14" t="s">
        <v>374</v>
      </c>
      <c r="E12" s="14" t="s">
        <v>513</v>
      </c>
      <c r="F12" s="14" t="s">
        <v>376</v>
      </c>
      <c r="G12" s="14" t="s">
        <v>514</v>
      </c>
      <c r="H12" s="14" t="s">
        <v>372</v>
      </c>
      <c r="I12" s="14" t="s">
        <v>507</v>
      </c>
      <c r="J12" s="14" t="s">
        <v>379</v>
      </c>
      <c r="K12" s="14">
        <v>180</v>
      </c>
      <c r="L12" s="14" t="s">
        <v>97</v>
      </c>
      <c r="M12" s="4">
        <f t="shared" si="0"/>
        <v>10</v>
      </c>
      <c r="N12" s="4" t="b">
        <f t="shared" si="1"/>
        <v>0</v>
      </c>
    </row>
    <row r="13" spans="1:19" x14ac:dyDescent="0.2">
      <c r="A13" s="14" t="s">
        <v>396</v>
      </c>
      <c r="B13" s="14" t="s">
        <v>372</v>
      </c>
      <c r="C13" s="14" t="s">
        <v>512</v>
      </c>
      <c r="D13" s="14" t="s">
        <v>374</v>
      </c>
      <c r="E13" s="14" t="s">
        <v>513</v>
      </c>
      <c r="F13" s="14" t="s">
        <v>376</v>
      </c>
      <c r="G13" s="14" t="s">
        <v>514</v>
      </c>
      <c r="H13" s="14" t="s">
        <v>372</v>
      </c>
      <c r="I13" s="14" t="s">
        <v>508</v>
      </c>
      <c r="J13" s="14" t="s">
        <v>379</v>
      </c>
      <c r="K13" s="14">
        <v>190</v>
      </c>
      <c r="L13" s="14" t="s">
        <v>97</v>
      </c>
      <c r="M13" s="4">
        <f t="shared" si="0"/>
        <v>11</v>
      </c>
      <c r="N13" s="4" t="b">
        <f t="shared" si="1"/>
        <v>0</v>
      </c>
    </row>
    <row r="14" spans="1:19" x14ac:dyDescent="0.2">
      <c r="A14" s="14" t="s">
        <v>398</v>
      </c>
      <c r="B14" s="14" t="s">
        <v>372</v>
      </c>
      <c r="C14" s="14" t="s">
        <v>512</v>
      </c>
      <c r="D14" s="14" t="s">
        <v>374</v>
      </c>
      <c r="E14" s="14" t="s">
        <v>513</v>
      </c>
      <c r="F14" s="14" t="s">
        <v>376</v>
      </c>
      <c r="G14" s="14" t="s">
        <v>514</v>
      </c>
      <c r="H14" s="14" t="s">
        <v>372</v>
      </c>
      <c r="I14" s="14" t="s">
        <v>508</v>
      </c>
      <c r="J14" s="14" t="s">
        <v>379</v>
      </c>
      <c r="K14" s="14">
        <v>205</v>
      </c>
      <c r="L14" s="14" t="s">
        <v>97</v>
      </c>
      <c r="M14" s="4">
        <f t="shared" si="0"/>
        <v>11</v>
      </c>
      <c r="N14" s="4" t="b">
        <f t="shared" si="1"/>
        <v>0</v>
      </c>
    </row>
    <row r="15" spans="1:19" x14ac:dyDescent="0.2">
      <c r="A15" s="14" t="s">
        <v>400</v>
      </c>
      <c r="B15" s="14" t="s">
        <v>372</v>
      </c>
      <c r="C15" s="14" t="s">
        <v>512</v>
      </c>
      <c r="D15" s="14" t="s">
        <v>374</v>
      </c>
      <c r="E15" s="14" t="s">
        <v>513</v>
      </c>
      <c r="F15" s="14" t="s">
        <v>376</v>
      </c>
      <c r="G15" s="14" t="s">
        <v>514</v>
      </c>
      <c r="H15" s="14" t="s">
        <v>372</v>
      </c>
      <c r="I15" s="14" t="s">
        <v>509</v>
      </c>
      <c r="J15" s="14" t="s">
        <v>379</v>
      </c>
      <c r="K15" s="14">
        <v>220</v>
      </c>
      <c r="L15" s="14" t="s">
        <v>97</v>
      </c>
      <c r="M15" s="4">
        <f t="shared" si="0"/>
        <v>12</v>
      </c>
      <c r="N15" s="4" t="b">
        <f t="shared" si="1"/>
        <v>0</v>
      </c>
    </row>
    <row r="16" spans="1:19" x14ac:dyDescent="0.2">
      <c r="A16" s="14" t="s">
        <v>402</v>
      </c>
      <c r="B16" s="14" t="s">
        <v>372</v>
      </c>
      <c r="C16" s="14" t="s">
        <v>512</v>
      </c>
      <c r="D16" s="14" t="s">
        <v>374</v>
      </c>
      <c r="E16" s="14" t="s">
        <v>513</v>
      </c>
      <c r="F16" s="14" t="s">
        <v>376</v>
      </c>
      <c r="G16" s="14" t="s">
        <v>514</v>
      </c>
      <c r="H16" s="14" t="s">
        <v>372</v>
      </c>
      <c r="I16" s="14" t="s">
        <v>502</v>
      </c>
      <c r="J16" s="14" t="s">
        <v>379</v>
      </c>
      <c r="K16" s="14">
        <v>235</v>
      </c>
      <c r="L16" s="14" t="s">
        <v>97</v>
      </c>
      <c r="M16" s="4">
        <f t="shared" si="0"/>
        <v>13</v>
      </c>
      <c r="N16" s="4" t="b">
        <f t="shared" si="1"/>
        <v>0</v>
      </c>
    </row>
    <row r="17" spans="1:14" x14ac:dyDescent="0.2">
      <c r="A17" s="14" t="s">
        <v>404</v>
      </c>
      <c r="B17" s="14" t="s">
        <v>372</v>
      </c>
      <c r="C17" s="14" t="s">
        <v>512</v>
      </c>
      <c r="D17" s="14" t="s">
        <v>374</v>
      </c>
      <c r="E17" s="14" t="s">
        <v>513</v>
      </c>
      <c r="F17" s="14" t="s">
        <v>376</v>
      </c>
      <c r="G17" s="14" t="s">
        <v>514</v>
      </c>
      <c r="H17" s="14" t="s">
        <v>372</v>
      </c>
      <c r="I17" s="14" t="s">
        <v>504</v>
      </c>
      <c r="J17" s="14" t="s">
        <v>379</v>
      </c>
      <c r="K17" s="14">
        <v>250</v>
      </c>
      <c r="L17" s="14" t="s">
        <v>97</v>
      </c>
      <c r="M17" s="4">
        <f t="shared" si="0"/>
        <v>15</v>
      </c>
      <c r="N17" s="4" t="b">
        <f t="shared" si="1"/>
        <v>0</v>
      </c>
    </row>
    <row r="18" spans="1:14" x14ac:dyDescent="0.2">
      <c r="A18" s="14" t="s">
        <v>406</v>
      </c>
      <c r="B18" s="14" t="s">
        <v>372</v>
      </c>
      <c r="C18" s="14" t="s">
        <v>512</v>
      </c>
      <c r="D18" s="14" t="s">
        <v>374</v>
      </c>
      <c r="E18" s="14" t="s">
        <v>513</v>
      </c>
      <c r="F18" s="14" t="s">
        <v>376</v>
      </c>
      <c r="G18" s="14" t="s">
        <v>514</v>
      </c>
      <c r="H18" s="14" t="s">
        <v>372</v>
      </c>
      <c r="I18" s="14" t="s">
        <v>506</v>
      </c>
      <c r="J18" s="14" t="s">
        <v>379</v>
      </c>
      <c r="K18" s="14">
        <v>275</v>
      </c>
      <c r="L18" s="14" t="s">
        <v>97</v>
      </c>
      <c r="M18" s="4">
        <f t="shared" si="0"/>
        <v>9</v>
      </c>
      <c r="N18" s="4" t="b">
        <f t="shared" si="1"/>
        <v>0</v>
      </c>
    </row>
    <row r="19" spans="1:14" x14ac:dyDescent="0.2">
      <c r="A19" s="14" t="s">
        <v>408</v>
      </c>
      <c r="B19" s="14" t="s">
        <v>372</v>
      </c>
      <c r="C19" s="14" t="s">
        <v>512</v>
      </c>
      <c r="D19" s="14" t="s">
        <v>374</v>
      </c>
      <c r="E19" s="14" t="s">
        <v>513</v>
      </c>
      <c r="F19" s="14" t="s">
        <v>376</v>
      </c>
      <c r="G19" s="14" t="s">
        <v>514</v>
      </c>
      <c r="H19" s="14" t="s">
        <v>372</v>
      </c>
      <c r="I19" s="14" t="s">
        <v>507</v>
      </c>
      <c r="J19" s="14" t="s">
        <v>379</v>
      </c>
      <c r="K19" s="14">
        <v>300</v>
      </c>
      <c r="L19" s="14" t="s">
        <v>97</v>
      </c>
      <c r="M19" s="4">
        <f t="shared" si="0"/>
        <v>10</v>
      </c>
      <c r="N19" s="4" t="b">
        <f t="shared" si="1"/>
        <v>0</v>
      </c>
    </row>
    <row r="20" spans="1:14" x14ac:dyDescent="0.2">
      <c r="A20" s="14" t="s">
        <v>410</v>
      </c>
      <c r="B20" s="14" t="s">
        <v>372</v>
      </c>
      <c r="C20" s="14" t="s">
        <v>512</v>
      </c>
      <c r="D20" s="14" t="s">
        <v>374</v>
      </c>
      <c r="E20" s="14" t="s">
        <v>513</v>
      </c>
      <c r="F20" s="14" t="s">
        <v>376</v>
      </c>
      <c r="G20" s="14" t="s">
        <v>514</v>
      </c>
      <c r="H20" s="14" t="s">
        <v>372</v>
      </c>
      <c r="I20" s="14" t="s">
        <v>509</v>
      </c>
      <c r="J20" s="14" t="s">
        <v>379</v>
      </c>
      <c r="K20" s="14">
        <v>325</v>
      </c>
      <c r="L20" s="14" t="s">
        <v>97</v>
      </c>
      <c r="M20" s="4">
        <f t="shared" si="0"/>
        <v>12</v>
      </c>
      <c r="N20" s="4" t="b">
        <f t="shared" si="1"/>
        <v>0</v>
      </c>
    </row>
    <row r="21" spans="1:14" x14ac:dyDescent="0.2">
      <c r="A21" s="14" t="s">
        <v>412</v>
      </c>
      <c r="B21" s="14" t="s">
        <v>372</v>
      </c>
      <c r="C21" s="14" t="s">
        <v>512</v>
      </c>
      <c r="D21" s="14" t="s">
        <v>374</v>
      </c>
      <c r="E21" s="14" t="s">
        <v>513</v>
      </c>
      <c r="F21" s="14" t="s">
        <v>376</v>
      </c>
      <c r="G21" s="14" t="s">
        <v>514</v>
      </c>
      <c r="H21" s="14" t="s">
        <v>372</v>
      </c>
      <c r="I21" s="14" t="s">
        <v>505</v>
      </c>
      <c r="J21" s="14" t="s">
        <v>379</v>
      </c>
      <c r="K21" s="14">
        <v>350</v>
      </c>
      <c r="L21" s="14" t="s">
        <v>97</v>
      </c>
      <c r="M21" s="4">
        <f t="shared" si="0"/>
        <v>8</v>
      </c>
      <c r="N21" s="4" t="str">
        <f t="shared" si="1"/>
        <v>SELECT</v>
      </c>
    </row>
    <row r="22" spans="1:14" x14ac:dyDescent="0.2">
      <c r="A22" s="14" t="s">
        <v>414</v>
      </c>
      <c r="B22" s="14" t="s">
        <v>372</v>
      </c>
      <c r="C22" s="14" t="s">
        <v>512</v>
      </c>
      <c r="D22" s="14" t="s">
        <v>374</v>
      </c>
      <c r="E22" s="14" t="s">
        <v>513</v>
      </c>
      <c r="F22" s="14" t="s">
        <v>376</v>
      </c>
      <c r="G22" s="14" t="s">
        <v>514</v>
      </c>
      <c r="H22" s="14" t="s">
        <v>372</v>
      </c>
      <c r="I22" s="14" t="s">
        <v>505</v>
      </c>
      <c r="J22" s="14" t="s">
        <v>379</v>
      </c>
      <c r="K22" s="14">
        <v>400</v>
      </c>
      <c r="L22" s="14" t="s">
        <v>97</v>
      </c>
      <c r="M22" s="4">
        <f t="shared" si="0"/>
        <v>8</v>
      </c>
      <c r="N22" s="4" t="b">
        <f t="shared" si="1"/>
        <v>0</v>
      </c>
    </row>
    <row r="23" spans="1:14" x14ac:dyDescent="0.2">
      <c r="A23" s="14" t="s">
        <v>416</v>
      </c>
      <c r="B23" s="14" t="s">
        <v>372</v>
      </c>
      <c r="C23" s="14" t="s">
        <v>512</v>
      </c>
      <c r="D23" s="14" t="s">
        <v>374</v>
      </c>
      <c r="E23" s="14" t="s">
        <v>513</v>
      </c>
      <c r="F23" s="14" t="s">
        <v>376</v>
      </c>
      <c r="G23" s="14" t="s">
        <v>514</v>
      </c>
      <c r="H23" s="14" t="s">
        <v>372</v>
      </c>
      <c r="I23" s="14" t="s">
        <v>510</v>
      </c>
      <c r="J23" s="14" t="s">
        <v>379</v>
      </c>
      <c r="K23" s="14">
        <v>450</v>
      </c>
      <c r="L23" s="14" t="s">
        <v>97</v>
      </c>
      <c r="M23" s="4">
        <f t="shared" si="0"/>
        <v>0</v>
      </c>
      <c r="N23" s="4" t="b">
        <f t="shared" si="1"/>
        <v>0</v>
      </c>
    </row>
    <row r="24" spans="1:14" x14ac:dyDescent="0.2">
      <c r="A24" s="14" t="s">
        <v>418</v>
      </c>
      <c r="B24" s="14" t="s">
        <v>372</v>
      </c>
      <c r="C24" s="14" t="s">
        <v>512</v>
      </c>
      <c r="D24" s="14" t="s">
        <v>374</v>
      </c>
      <c r="E24" s="14" t="s">
        <v>513</v>
      </c>
      <c r="F24" s="14" t="s">
        <v>376</v>
      </c>
      <c r="G24" s="14" t="s">
        <v>514</v>
      </c>
      <c r="H24" s="14" t="s">
        <v>372</v>
      </c>
      <c r="I24" s="14" t="s">
        <v>510</v>
      </c>
      <c r="J24" s="14" t="s">
        <v>379</v>
      </c>
      <c r="K24" s="14">
        <v>500</v>
      </c>
      <c r="L24" s="14" t="s">
        <v>97</v>
      </c>
      <c r="M24" s="4">
        <f t="shared" si="0"/>
        <v>0</v>
      </c>
      <c r="N24" s="4" t="b">
        <f t="shared" si="1"/>
        <v>0</v>
      </c>
    </row>
    <row r="25" spans="1:14" x14ac:dyDescent="0.2">
      <c r="A25" s="14" t="s">
        <v>420</v>
      </c>
      <c r="B25" s="14" t="s">
        <v>372</v>
      </c>
      <c r="C25" s="14" t="s">
        <v>512</v>
      </c>
      <c r="D25" s="14" t="s">
        <v>374</v>
      </c>
      <c r="E25" s="14" t="s">
        <v>513</v>
      </c>
      <c r="F25" s="14" t="s">
        <v>376</v>
      </c>
      <c r="G25" s="14" t="s">
        <v>514</v>
      </c>
      <c r="H25" s="14" t="s">
        <v>372</v>
      </c>
      <c r="I25" s="14" t="s">
        <v>510</v>
      </c>
      <c r="J25" s="14" t="s">
        <v>379</v>
      </c>
      <c r="K25" s="14">
        <v>550</v>
      </c>
      <c r="L25" s="14" t="s">
        <v>97</v>
      </c>
      <c r="M25" s="4">
        <f t="shared" si="0"/>
        <v>0</v>
      </c>
      <c r="N25" s="4" t="b">
        <f t="shared" si="1"/>
        <v>0</v>
      </c>
    </row>
    <row r="26" spans="1:14" x14ac:dyDescent="0.2">
      <c r="A26" s="14" t="s">
        <v>422</v>
      </c>
      <c r="B26" s="14" t="s">
        <v>372</v>
      </c>
      <c r="C26" s="14" t="s">
        <v>512</v>
      </c>
      <c r="D26" s="14" t="s">
        <v>374</v>
      </c>
      <c r="E26" s="14" t="s">
        <v>513</v>
      </c>
      <c r="F26" s="14" t="s">
        <v>376</v>
      </c>
      <c r="G26" s="14" t="s">
        <v>514</v>
      </c>
      <c r="H26" s="14" t="s">
        <v>372</v>
      </c>
      <c r="I26" s="14" t="s">
        <v>510</v>
      </c>
      <c r="J26" s="14" t="s">
        <v>379</v>
      </c>
      <c r="K26" s="14">
        <v>600</v>
      </c>
      <c r="L26" s="14" t="s">
        <v>97</v>
      </c>
      <c r="M26" s="4">
        <f t="shared" si="0"/>
        <v>0</v>
      </c>
      <c r="N26" s="4" t="b">
        <f t="shared" si="1"/>
        <v>0</v>
      </c>
    </row>
    <row r="27" spans="1:14" x14ac:dyDescent="0.2">
      <c r="A27" s="14" t="s">
        <v>424</v>
      </c>
      <c r="B27" s="14" t="s">
        <v>372</v>
      </c>
      <c r="C27" s="14" t="s">
        <v>512</v>
      </c>
      <c r="D27" s="14" t="s">
        <v>374</v>
      </c>
      <c r="E27" s="14" t="s">
        <v>513</v>
      </c>
      <c r="F27" s="14" t="s">
        <v>376</v>
      </c>
      <c r="G27" s="14" t="s">
        <v>514</v>
      </c>
      <c r="H27" s="14" t="s">
        <v>372</v>
      </c>
      <c r="I27" s="14" t="s">
        <v>510</v>
      </c>
      <c r="J27" s="14" t="s">
        <v>379</v>
      </c>
      <c r="K27" s="14">
        <v>650</v>
      </c>
      <c r="L27" s="14" t="s">
        <v>97</v>
      </c>
      <c r="M27" s="4">
        <f t="shared" si="0"/>
        <v>0</v>
      </c>
      <c r="N27" s="4" t="b">
        <f t="shared" si="1"/>
        <v>0</v>
      </c>
    </row>
    <row r="28" spans="1:14" x14ac:dyDescent="0.2">
      <c r="A28" s="14" t="s">
        <v>426</v>
      </c>
      <c r="B28" s="14" t="s">
        <v>372</v>
      </c>
      <c r="C28" s="14" t="s">
        <v>512</v>
      </c>
      <c r="D28" s="14" t="s">
        <v>374</v>
      </c>
      <c r="E28" s="14" t="s">
        <v>513</v>
      </c>
      <c r="F28" s="14" t="s">
        <v>376</v>
      </c>
      <c r="G28" s="14" t="s">
        <v>514</v>
      </c>
      <c r="H28" s="14" t="s">
        <v>372</v>
      </c>
      <c r="I28" s="14" t="s">
        <v>510</v>
      </c>
      <c r="J28" s="14" t="s">
        <v>379</v>
      </c>
      <c r="K28" s="14">
        <v>700</v>
      </c>
      <c r="L28" s="14" t="s">
        <v>97</v>
      </c>
      <c r="M28" s="4">
        <f t="shared" si="0"/>
        <v>0</v>
      </c>
      <c r="N28" s="4" t="b">
        <f t="shared" si="1"/>
        <v>0</v>
      </c>
    </row>
    <row r="29" spans="1:14" x14ac:dyDescent="0.2">
      <c r="A29" s="14" t="s">
        <v>428</v>
      </c>
      <c r="B29" s="14" t="s">
        <v>372</v>
      </c>
      <c r="C29" s="14" t="s">
        <v>512</v>
      </c>
      <c r="D29" s="14" t="s">
        <v>374</v>
      </c>
      <c r="E29" s="14" t="s">
        <v>513</v>
      </c>
      <c r="F29" s="14" t="s">
        <v>376</v>
      </c>
      <c r="G29" s="14" t="s">
        <v>514</v>
      </c>
      <c r="H29" s="14" t="s">
        <v>372</v>
      </c>
      <c r="I29" s="14" t="s">
        <v>510</v>
      </c>
      <c r="J29" s="14" t="s">
        <v>379</v>
      </c>
      <c r="K29" s="14">
        <v>750</v>
      </c>
      <c r="L29" s="14" t="s">
        <v>97</v>
      </c>
      <c r="M29" s="4">
        <f t="shared" si="0"/>
        <v>0</v>
      </c>
      <c r="N29" s="4" t="b">
        <f t="shared" si="1"/>
        <v>0</v>
      </c>
    </row>
    <row r="30" spans="1:14" x14ac:dyDescent="0.2">
      <c r="A30" s="14" t="s">
        <v>430</v>
      </c>
      <c r="B30" s="14" t="s">
        <v>372</v>
      </c>
      <c r="C30" s="14" t="s">
        <v>512</v>
      </c>
      <c r="D30" s="14" t="s">
        <v>374</v>
      </c>
      <c r="E30" s="14" t="s">
        <v>513</v>
      </c>
      <c r="F30" s="14" t="s">
        <v>376</v>
      </c>
      <c r="G30" s="14" t="s">
        <v>514</v>
      </c>
      <c r="H30" s="14" t="s">
        <v>372</v>
      </c>
      <c r="I30" s="14" t="s">
        <v>510</v>
      </c>
      <c r="J30" s="14" t="s">
        <v>379</v>
      </c>
      <c r="K30" s="14">
        <v>800</v>
      </c>
      <c r="L30" s="14" t="s">
        <v>97</v>
      </c>
      <c r="M30" s="4">
        <f t="shared" si="0"/>
        <v>0</v>
      </c>
      <c r="N30" s="4" t="b">
        <f t="shared" si="1"/>
        <v>0</v>
      </c>
    </row>
    <row r="31" spans="1:14" x14ac:dyDescent="0.2">
      <c r="A31" s="14" t="s">
        <v>432</v>
      </c>
      <c r="B31" s="14" t="s">
        <v>372</v>
      </c>
      <c r="C31" s="14" t="s">
        <v>512</v>
      </c>
      <c r="D31" s="14" t="s">
        <v>374</v>
      </c>
      <c r="E31" s="14" t="s">
        <v>513</v>
      </c>
      <c r="F31" s="14" t="s">
        <v>376</v>
      </c>
      <c r="G31" s="14" t="s">
        <v>514</v>
      </c>
      <c r="H31" s="14" t="s">
        <v>372</v>
      </c>
      <c r="I31" s="14" t="s">
        <v>510</v>
      </c>
      <c r="J31" s="14" t="s">
        <v>379</v>
      </c>
      <c r="K31" s="14">
        <v>850</v>
      </c>
      <c r="L31" s="14" t="s">
        <v>97</v>
      </c>
      <c r="M31" s="4">
        <f t="shared" si="0"/>
        <v>0</v>
      </c>
      <c r="N31" s="4" t="b">
        <f t="shared" si="1"/>
        <v>0</v>
      </c>
    </row>
    <row r="32" spans="1:14" x14ac:dyDescent="0.2">
      <c r="A32" s="14" t="s">
        <v>434</v>
      </c>
      <c r="B32" s="14" t="s">
        <v>372</v>
      </c>
      <c r="C32" s="14" t="s">
        <v>512</v>
      </c>
      <c r="D32" s="14" t="s">
        <v>374</v>
      </c>
      <c r="E32" s="14" t="s">
        <v>513</v>
      </c>
      <c r="F32" s="14" t="s">
        <v>376</v>
      </c>
      <c r="G32" s="14" t="s">
        <v>514</v>
      </c>
      <c r="H32" s="14" t="s">
        <v>372</v>
      </c>
      <c r="I32" s="14" t="s">
        <v>510</v>
      </c>
      <c r="J32" s="14" t="s">
        <v>379</v>
      </c>
      <c r="K32" s="14">
        <v>900</v>
      </c>
      <c r="L32" s="14" t="s">
        <v>97</v>
      </c>
      <c r="M32" s="4">
        <f t="shared" si="0"/>
        <v>0</v>
      </c>
      <c r="N32" s="4" t="b">
        <f t="shared" si="1"/>
        <v>0</v>
      </c>
    </row>
    <row r="33" spans="1:14" x14ac:dyDescent="0.2">
      <c r="A33" s="14" t="s">
        <v>436</v>
      </c>
      <c r="B33" s="14" t="s">
        <v>372</v>
      </c>
      <c r="C33" s="14" t="s">
        <v>512</v>
      </c>
      <c r="D33" s="14" t="s">
        <v>374</v>
      </c>
      <c r="E33" s="14" t="s">
        <v>513</v>
      </c>
      <c r="F33" s="14" t="s">
        <v>376</v>
      </c>
      <c r="G33" s="14" t="s">
        <v>514</v>
      </c>
      <c r="H33" s="14" t="s">
        <v>372</v>
      </c>
      <c r="I33" s="14" t="s">
        <v>510</v>
      </c>
      <c r="J33" s="14" t="s">
        <v>379</v>
      </c>
      <c r="K33" s="14">
        <v>950</v>
      </c>
      <c r="L33" s="14" t="s">
        <v>97</v>
      </c>
      <c r="M33" s="4">
        <f t="shared" si="0"/>
        <v>0</v>
      </c>
      <c r="N33" s="4" t="b">
        <f t="shared" si="1"/>
        <v>0</v>
      </c>
    </row>
    <row r="34" spans="1:14" x14ac:dyDescent="0.2">
      <c r="A34" s="14" t="s">
        <v>438</v>
      </c>
      <c r="B34" s="14" t="s">
        <v>372</v>
      </c>
      <c r="C34" s="14" t="s">
        <v>512</v>
      </c>
      <c r="D34" s="14" t="s">
        <v>374</v>
      </c>
      <c r="E34" s="14" t="s">
        <v>513</v>
      </c>
      <c r="F34" s="14" t="s">
        <v>376</v>
      </c>
      <c r="G34" s="14" t="s">
        <v>514</v>
      </c>
      <c r="H34" s="14" t="s">
        <v>372</v>
      </c>
      <c r="I34" s="14" t="s">
        <v>510</v>
      </c>
      <c r="J34" s="14" t="s">
        <v>379</v>
      </c>
      <c r="K34" s="14">
        <v>1000</v>
      </c>
      <c r="L34" s="14" t="s">
        <v>97</v>
      </c>
      <c r="M34" s="4">
        <f t="shared" si="0"/>
        <v>0</v>
      </c>
      <c r="N34" s="4" t="b">
        <f t="shared" si="1"/>
        <v>0</v>
      </c>
    </row>
    <row r="35" spans="1:14" x14ac:dyDescent="0.2">
      <c r="A35" s="14" t="s">
        <v>440</v>
      </c>
      <c r="B35" s="14" t="s">
        <v>372</v>
      </c>
      <c r="C35" s="14" t="s">
        <v>512</v>
      </c>
      <c r="D35" s="14" t="s">
        <v>374</v>
      </c>
      <c r="E35" s="14" t="s">
        <v>513</v>
      </c>
      <c r="F35" s="14" t="s">
        <v>376</v>
      </c>
      <c r="G35" s="14" t="s">
        <v>514</v>
      </c>
      <c r="H35" s="14" t="s">
        <v>372</v>
      </c>
      <c r="I35" s="14" t="s">
        <v>510</v>
      </c>
      <c r="J35" s="14" t="s">
        <v>379</v>
      </c>
      <c r="K35" s="14">
        <v>1050</v>
      </c>
      <c r="L35" s="14" t="s">
        <v>97</v>
      </c>
      <c r="M35" s="4">
        <f t="shared" si="0"/>
        <v>0</v>
      </c>
      <c r="N35" s="4" t="b">
        <f t="shared" si="1"/>
        <v>0</v>
      </c>
    </row>
    <row r="36" spans="1:14" x14ac:dyDescent="0.2">
      <c r="A36" s="14" t="s">
        <v>442</v>
      </c>
      <c r="B36" s="14" t="s">
        <v>372</v>
      </c>
      <c r="C36" s="14" t="s">
        <v>512</v>
      </c>
      <c r="D36" s="14" t="s">
        <v>374</v>
      </c>
      <c r="E36" s="14" t="s">
        <v>513</v>
      </c>
      <c r="F36" s="14" t="s">
        <v>376</v>
      </c>
      <c r="G36" s="14" t="s">
        <v>514</v>
      </c>
      <c r="H36" s="14" t="s">
        <v>372</v>
      </c>
      <c r="I36" s="14" t="s">
        <v>510</v>
      </c>
      <c r="J36" s="14" t="s">
        <v>379</v>
      </c>
      <c r="K36" s="14">
        <v>1100</v>
      </c>
      <c r="L36" s="14" t="s">
        <v>97</v>
      </c>
      <c r="M36" s="4">
        <f t="shared" si="0"/>
        <v>0</v>
      </c>
      <c r="N36" s="4" t="b">
        <f t="shared" si="1"/>
        <v>0</v>
      </c>
    </row>
    <row r="37" spans="1:14" x14ac:dyDescent="0.2">
      <c r="A37" s="14" t="s">
        <v>444</v>
      </c>
      <c r="B37" s="14" t="s">
        <v>372</v>
      </c>
      <c r="C37" s="14" t="s">
        <v>512</v>
      </c>
      <c r="D37" s="14" t="s">
        <v>374</v>
      </c>
      <c r="E37" s="14" t="s">
        <v>513</v>
      </c>
      <c r="F37" s="14" t="s">
        <v>376</v>
      </c>
      <c r="G37" s="14" t="s">
        <v>514</v>
      </c>
      <c r="H37" s="14" t="s">
        <v>372</v>
      </c>
      <c r="I37" s="14" t="s">
        <v>510</v>
      </c>
      <c r="J37" s="14" t="s">
        <v>379</v>
      </c>
      <c r="K37" s="14">
        <v>1150</v>
      </c>
      <c r="L37" s="14" t="s">
        <v>97</v>
      </c>
      <c r="M37" s="4">
        <f t="shared" si="0"/>
        <v>0</v>
      </c>
      <c r="N37" s="4" t="b">
        <f t="shared" si="1"/>
        <v>0</v>
      </c>
    </row>
    <row r="38" spans="1:14" x14ac:dyDescent="0.2">
      <c r="A38" s="14" t="s">
        <v>446</v>
      </c>
      <c r="B38" s="14" t="s">
        <v>372</v>
      </c>
      <c r="C38" s="14" t="s">
        <v>512</v>
      </c>
      <c r="D38" s="14" t="s">
        <v>374</v>
      </c>
      <c r="E38" s="14" t="s">
        <v>513</v>
      </c>
      <c r="F38" s="14" t="s">
        <v>376</v>
      </c>
      <c r="G38" s="14" t="s">
        <v>514</v>
      </c>
      <c r="H38" s="14" t="s">
        <v>372</v>
      </c>
      <c r="I38" s="14" t="s">
        <v>510</v>
      </c>
      <c r="J38" s="14" t="s">
        <v>379</v>
      </c>
      <c r="K38" s="14">
        <v>1200</v>
      </c>
      <c r="L38" s="14" t="s">
        <v>97</v>
      </c>
      <c r="M38" s="4">
        <f t="shared" si="0"/>
        <v>0</v>
      </c>
      <c r="N38" s="4" t="b">
        <f t="shared" si="1"/>
        <v>0</v>
      </c>
    </row>
    <row r="39" spans="1:14" x14ac:dyDescent="0.2">
      <c r="A39" s="14" t="s">
        <v>448</v>
      </c>
      <c r="B39" s="14" t="s">
        <v>372</v>
      </c>
      <c r="C39" s="14" t="s">
        <v>512</v>
      </c>
      <c r="D39" s="14" t="s">
        <v>374</v>
      </c>
      <c r="E39" s="14" t="s">
        <v>513</v>
      </c>
      <c r="F39" s="14" t="s">
        <v>376</v>
      </c>
      <c r="G39" s="14" t="s">
        <v>514</v>
      </c>
      <c r="H39" s="14" t="s">
        <v>372</v>
      </c>
      <c r="I39" s="14" t="s">
        <v>510</v>
      </c>
      <c r="J39" s="14" t="s">
        <v>379</v>
      </c>
      <c r="K39" s="14">
        <v>1250</v>
      </c>
      <c r="L39" s="14" t="s">
        <v>97</v>
      </c>
      <c r="M39" s="4">
        <f t="shared" si="0"/>
        <v>0</v>
      </c>
      <c r="N39" s="4" t="b">
        <f t="shared" si="1"/>
        <v>0</v>
      </c>
    </row>
    <row r="40" spans="1:14" x14ac:dyDescent="0.2">
      <c r="A40" s="14" t="s">
        <v>450</v>
      </c>
      <c r="B40" s="14" t="s">
        <v>372</v>
      </c>
      <c r="C40" s="14" t="s">
        <v>512</v>
      </c>
      <c r="D40" s="14" t="s">
        <v>374</v>
      </c>
      <c r="E40" s="14" t="s">
        <v>513</v>
      </c>
      <c r="F40" s="14" t="s">
        <v>376</v>
      </c>
      <c r="G40" s="14" t="s">
        <v>514</v>
      </c>
      <c r="H40" s="14" t="s">
        <v>372</v>
      </c>
      <c r="I40" s="14" t="s">
        <v>510</v>
      </c>
      <c r="J40" s="14" t="s">
        <v>379</v>
      </c>
      <c r="K40" s="14">
        <v>1300</v>
      </c>
      <c r="L40" s="14" t="s">
        <v>97</v>
      </c>
      <c r="M40" s="4">
        <f t="shared" si="0"/>
        <v>0</v>
      </c>
      <c r="N40" s="4" t="b">
        <f t="shared" si="1"/>
        <v>0</v>
      </c>
    </row>
    <row r="41" spans="1:14" x14ac:dyDescent="0.2">
      <c r="A41" s="14" t="s">
        <v>452</v>
      </c>
      <c r="B41" s="14" t="s">
        <v>372</v>
      </c>
      <c r="C41" s="14" t="s">
        <v>512</v>
      </c>
      <c r="D41" s="14" t="s">
        <v>374</v>
      </c>
      <c r="E41" s="14" t="s">
        <v>513</v>
      </c>
      <c r="F41" s="14" t="s">
        <v>376</v>
      </c>
      <c r="G41" s="14" t="s">
        <v>514</v>
      </c>
      <c r="H41" s="14" t="s">
        <v>372</v>
      </c>
      <c r="I41" s="14" t="s">
        <v>510</v>
      </c>
      <c r="J41" s="14" t="s">
        <v>379</v>
      </c>
      <c r="K41" s="14">
        <v>1350</v>
      </c>
      <c r="L41" s="14" t="s">
        <v>97</v>
      </c>
      <c r="M41" s="4">
        <f t="shared" si="0"/>
        <v>0</v>
      </c>
      <c r="N41" s="4" t="b">
        <f t="shared" si="1"/>
        <v>0</v>
      </c>
    </row>
    <row r="42" spans="1:14" x14ac:dyDescent="0.2">
      <c r="A42" s="14" t="s">
        <v>454</v>
      </c>
      <c r="B42" s="14" t="s">
        <v>372</v>
      </c>
      <c r="C42" s="14" t="s">
        <v>512</v>
      </c>
      <c r="D42" s="14" t="s">
        <v>374</v>
      </c>
      <c r="E42" s="14" t="s">
        <v>513</v>
      </c>
      <c r="F42" s="14" t="s">
        <v>376</v>
      </c>
      <c r="G42" s="14" t="s">
        <v>514</v>
      </c>
      <c r="H42" s="14" t="s">
        <v>372</v>
      </c>
      <c r="I42" s="14" t="s">
        <v>510</v>
      </c>
      <c r="J42" s="14" t="s">
        <v>379</v>
      </c>
      <c r="K42" s="14">
        <v>1400</v>
      </c>
      <c r="L42" s="14" t="s">
        <v>97</v>
      </c>
      <c r="M42" s="4">
        <f t="shared" si="0"/>
        <v>0</v>
      </c>
      <c r="N42" s="4" t="b">
        <f t="shared" si="1"/>
        <v>0</v>
      </c>
    </row>
    <row r="43" spans="1:14" x14ac:dyDescent="0.2">
      <c r="A43" s="14" t="s">
        <v>456</v>
      </c>
      <c r="B43" s="14" t="s">
        <v>372</v>
      </c>
      <c r="C43" s="14" t="s">
        <v>512</v>
      </c>
      <c r="D43" s="14" t="s">
        <v>374</v>
      </c>
      <c r="E43" s="14" t="s">
        <v>513</v>
      </c>
      <c r="F43" s="14" t="s">
        <v>376</v>
      </c>
      <c r="G43" s="14" t="s">
        <v>514</v>
      </c>
      <c r="H43" s="14" t="s">
        <v>372</v>
      </c>
      <c r="I43" s="14" t="s">
        <v>510</v>
      </c>
      <c r="J43" s="14" t="s">
        <v>379</v>
      </c>
      <c r="K43" s="14">
        <v>1450</v>
      </c>
      <c r="L43" s="14" t="s">
        <v>97</v>
      </c>
      <c r="M43" s="4">
        <f t="shared" si="0"/>
        <v>0</v>
      </c>
      <c r="N43" s="4" t="b">
        <f t="shared" si="1"/>
        <v>0</v>
      </c>
    </row>
    <row r="44" spans="1:14" x14ac:dyDescent="0.2">
      <c r="A44" s="14" t="s">
        <v>458</v>
      </c>
      <c r="B44" s="14" t="s">
        <v>372</v>
      </c>
      <c r="C44" s="14" t="s">
        <v>512</v>
      </c>
      <c r="D44" s="14" t="s">
        <v>374</v>
      </c>
      <c r="E44" s="14" t="s">
        <v>513</v>
      </c>
      <c r="F44" s="14" t="s">
        <v>376</v>
      </c>
      <c r="G44" s="14" t="s">
        <v>514</v>
      </c>
      <c r="H44" s="14" t="s">
        <v>372</v>
      </c>
      <c r="I44" s="14" t="s">
        <v>510</v>
      </c>
      <c r="J44" s="14" t="s">
        <v>379</v>
      </c>
      <c r="K44" s="14">
        <v>1500</v>
      </c>
      <c r="L44" s="14" t="s">
        <v>97</v>
      </c>
      <c r="M44" s="4">
        <f t="shared" si="0"/>
        <v>0</v>
      </c>
      <c r="N44" s="4" t="b">
        <f t="shared" si="1"/>
        <v>0</v>
      </c>
    </row>
    <row r="45" spans="1:14" x14ac:dyDescent="0.2">
      <c r="A45" s="14" t="s">
        <v>460</v>
      </c>
      <c r="B45" s="14" t="s">
        <v>372</v>
      </c>
      <c r="C45" s="14" t="s">
        <v>512</v>
      </c>
      <c r="D45" s="14" t="s">
        <v>374</v>
      </c>
      <c r="E45" s="14" t="s">
        <v>513</v>
      </c>
      <c r="F45" s="14" t="s">
        <v>376</v>
      </c>
      <c r="G45" s="14" t="s">
        <v>514</v>
      </c>
      <c r="H45" s="14" t="s">
        <v>372</v>
      </c>
      <c r="I45" s="14" t="s">
        <v>510</v>
      </c>
      <c r="J45" s="14" t="s">
        <v>379</v>
      </c>
      <c r="K45" s="14">
        <v>1550</v>
      </c>
      <c r="L45" s="14" t="s">
        <v>97</v>
      </c>
      <c r="M45" s="4">
        <f t="shared" si="0"/>
        <v>0</v>
      </c>
      <c r="N45" s="4" t="b">
        <f t="shared" si="1"/>
        <v>0</v>
      </c>
    </row>
    <row r="46" spans="1:14" x14ac:dyDescent="0.2">
      <c r="A46" s="14" t="s">
        <v>462</v>
      </c>
      <c r="B46" s="14" t="s">
        <v>372</v>
      </c>
      <c r="C46" s="14" t="s">
        <v>512</v>
      </c>
      <c r="D46" s="14" t="s">
        <v>374</v>
      </c>
      <c r="E46" s="14" t="s">
        <v>513</v>
      </c>
      <c r="F46" s="14" t="s">
        <v>376</v>
      </c>
      <c r="G46" s="14" t="s">
        <v>514</v>
      </c>
      <c r="H46" s="14" t="s">
        <v>372</v>
      </c>
      <c r="I46" s="14" t="s">
        <v>510</v>
      </c>
      <c r="J46" s="14" t="s">
        <v>379</v>
      </c>
      <c r="K46" s="14">
        <v>1600</v>
      </c>
      <c r="L46" s="14" t="s">
        <v>97</v>
      </c>
      <c r="M46" s="4">
        <f t="shared" si="0"/>
        <v>0</v>
      </c>
      <c r="N46" s="4" t="b">
        <f t="shared" si="1"/>
        <v>0</v>
      </c>
    </row>
    <row r="47" spans="1:14" x14ac:dyDescent="0.2">
      <c r="A47" s="14" t="s">
        <v>464</v>
      </c>
      <c r="B47" s="14" t="s">
        <v>372</v>
      </c>
      <c r="C47" s="14" t="s">
        <v>512</v>
      </c>
      <c r="D47" s="14" t="s">
        <v>374</v>
      </c>
      <c r="E47" s="14" t="s">
        <v>513</v>
      </c>
      <c r="F47" s="14" t="s">
        <v>376</v>
      </c>
      <c r="G47" s="14" t="s">
        <v>514</v>
      </c>
      <c r="H47" s="14" t="s">
        <v>372</v>
      </c>
      <c r="I47" s="14" t="s">
        <v>510</v>
      </c>
      <c r="J47" s="14" t="s">
        <v>379</v>
      </c>
      <c r="K47" s="14">
        <v>1650</v>
      </c>
      <c r="L47" s="14" t="s">
        <v>97</v>
      </c>
      <c r="M47" s="4">
        <f t="shared" si="0"/>
        <v>0</v>
      </c>
      <c r="N47" s="4" t="b">
        <f t="shared" si="1"/>
        <v>0</v>
      </c>
    </row>
    <row r="48" spans="1:14" x14ac:dyDescent="0.2">
      <c r="A48" s="14" t="s">
        <v>466</v>
      </c>
      <c r="B48" s="14" t="s">
        <v>372</v>
      </c>
      <c r="C48" s="14" t="s">
        <v>512</v>
      </c>
      <c r="D48" s="14" t="s">
        <v>374</v>
      </c>
      <c r="E48" s="14" t="s">
        <v>513</v>
      </c>
      <c r="F48" s="14" t="s">
        <v>376</v>
      </c>
      <c r="G48" s="14" t="s">
        <v>514</v>
      </c>
      <c r="H48" s="14" t="s">
        <v>372</v>
      </c>
      <c r="I48" s="14" t="s">
        <v>510</v>
      </c>
      <c r="J48" s="14" t="s">
        <v>379</v>
      </c>
      <c r="K48" s="14">
        <v>1700</v>
      </c>
      <c r="L48" s="14" t="s">
        <v>97</v>
      </c>
      <c r="M48" s="4">
        <f t="shared" si="0"/>
        <v>0</v>
      </c>
      <c r="N48" s="4" t="b">
        <f t="shared" si="1"/>
        <v>0</v>
      </c>
    </row>
    <row r="49" spans="1:14" x14ac:dyDescent="0.2">
      <c r="A49" s="14" t="s">
        <v>468</v>
      </c>
      <c r="B49" s="14" t="s">
        <v>372</v>
      </c>
      <c r="C49" s="14" t="s">
        <v>512</v>
      </c>
      <c r="D49" s="14" t="s">
        <v>374</v>
      </c>
      <c r="E49" s="14" t="s">
        <v>513</v>
      </c>
      <c r="F49" s="14" t="s">
        <v>376</v>
      </c>
      <c r="G49" s="14" t="s">
        <v>514</v>
      </c>
      <c r="H49" s="14" t="s">
        <v>372</v>
      </c>
      <c r="I49" s="14" t="s">
        <v>510</v>
      </c>
      <c r="J49" s="14" t="s">
        <v>379</v>
      </c>
      <c r="K49" s="14">
        <v>1750</v>
      </c>
      <c r="L49" s="14" t="s">
        <v>97</v>
      </c>
      <c r="M49" s="4">
        <f t="shared" si="0"/>
        <v>0</v>
      </c>
      <c r="N49" s="4" t="b">
        <f t="shared" si="1"/>
        <v>0</v>
      </c>
    </row>
    <row r="50" spans="1:14" x14ac:dyDescent="0.2">
      <c r="A50" s="14" t="s">
        <v>470</v>
      </c>
      <c r="B50" s="14" t="s">
        <v>372</v>
      </c>
      <c r="C50" s="14" t="s">
        <v>512</v>
      </c>
      <c r="D50" s="14" t="s">
        <v>374</v>
      </c>
      <c r="E50" s="14" t="s">
        <v>513</v>
      </c>
      <c r="F50" s="14" t="s">
        <v>376</v>
      </c>
      <c r="G50" s="14" t="s">
        <v>514</v>
      </c>
      <c r="H50" s="14" t="s">
        <v>372</v>
      </c>
      <c r="I50" s="14" t="s">
        <v>510</v>
      </c>
      <c r="J50" s="14" t="s">
        <v>379</v>
      </c>
      <c r="K50" s="14">
        <v>1800</v>
      </c>
      <c r="L50" s="14" t="s">
        <v>97</v>
      </c>
      <c r="M50" s="4">
        <f t="shared" si="0"/>
        <v>0</v>
      </c>
      <c r="N50" s="4" t="b">
        <f t="shared" si="1"/>
        <v>0</v>
      </c>
    </row>
    <row r="51" spans="1:14" x14ac:dyDescent="0.2">
      <c r="A51" s="14" t="s">
        <v>472</v>
      </c>
      <c r="B51" s="14" t="s">
        <v>372</v>
      </c>
      <c r="C51" s="14" t="s">
        <v>512</v>
      </c>
      <c r="D51" s="14" t="s">
        <v>374</v>
      </c>
      <c r="E51" s="14" t="s">
        <v>513</v>
      </c>
      <c r="F51" s="14" t="s">
        <v>376</v>
      </c>
      <c r="G51" s="14" t="s">
        <v>514</v>
      </c>
      <c r="H51" s="14" t="s">
        <v>372</v>
      </c>
      <c r="I51" s="14" t="s">
        <v>510</v>
      </c>
      <c r="J51" s="14" t="s">
        <v>379</v>
      </c>
      <c r="K51" s="14">
        <v>1850</v>
      </c>
      <c r="L51" s="14" t="s">
        <v>97</v>
      </c>
      <c r="M51" s="4">
        <f t="shared" si="0"/>
        <v>0</v>
      </c>
      <c r="N51" s="4" t="b">
        <f t="shared" si="1"/>
        <v>0</v>
      </c>
    </row>
    <row r="52" spans="1:14" x14ac:dyDescent="0.2">
      <c r="A52" s="14" t="s">
        <v>474</v>
      </c>
      <c r="B52" s="14" t="s">
        <v>372</v>
      </c>
      <c r="C52" s="14" t="s">
        <v>512</v>
      </c>
      <c r="D52" s="14" t="s">
        <v>374</v>
      </c>
      <c r="E52" s="14" t="s">
        <v>513</v>
      </c>
      <c r="F52" s="14" t="s">
        <v>376</v>
      </c>
      <c r="G52" s="14" t="s">
        <v>514</v>
      </c>
      <c r="H52" s="14" t="s">
        <v>372</v>
      </c>
      <c r="I52" s="14" t="s">
        <v>510</v>
      </c>
      <c r="J52" s="14" t="s">
        <v>379</v>
      </c>
      <c r="K52" s="14">
        <v>1900</v>
      </c>
      <c r="L52" s="14" t="s">
        <v>97</v>
      </c>
      <c r="M52" s="4">
        <f t="shared" si="0"/>
        <v>0</v>
      </c>
      <c r="N52" s="4" t="b">
        <f t="shared" si="1"/>
        <v>0</v>
      </c>
    </row>
    <row r="53" spans="1:14" x14ac:dyDescent="0.2">
      <c r="A53" s="14" t="s">
        <v>476</v>
      </c>
      <c r="B53" s="14" t="s">
        <v>372</v>
      </c>
      <c r="C53" s="14" t="s">
        <v>512</v>
      </c>
      <c r="D53" s="14" t="s">
        <v>374</v>
      </c>
      <c r="E53" s="14" t="s">
        <v>513</v>
      </c>
      <c r="F53" s="14" t="s">
        <v>376</v>
      </c>
      <c r="G53" s="14" t="s">
        <v>514</v>
      </c>
      <c r="H53" s="14" t="s">
        <v>372</v>
      </c>
      <c r="I53" s="14" t="s">
        <v>510</v>
      </c>
      <c r="J53" s="14" t="s">
        <v>379</v>
      </c>
      <c r="K53" s="14">
        <v>1950</v>
      </c>
      <c r="L53" s="14" t="s">
        <v>97</v>
      </c>
      <c r="M53" s="4">
        <f t="shared" si="0"/>
        <v>0</v>
      </c>
      <c r="N53" s="4" t="b">
        <f t="shared" si="1"/>
        <v>0</v>
      </c>
    </row>
    <row r="54" spans="1:14" x14ac:dyDescent="0.2">
      <c r="A54" s="14" t="s">
        <v>478</v>
      </c>
      <c r="B54" s="14" t="s">
        <v>372</v>
      </c>
      <c r="C54" s="14" t="s">
        <v>512</v>
      </c>
      <c r="D54" s="14" t="s">
        <v>374</v>
      </c>
      <c r="E54" s="14" t="s">
        <v>513</v>
      </c>
      <c r="F54" s="14" t="s">
        <v>376</v>
      </c>
      <c r="G54" s="14" t="s">
        <v>514</v>
      </c>
      <c r="H54" s="14" t="s">
        <v>372</v>
      </c>
      <c r="I54" s="14" t="s">
        <v>510</v>
      </c>
      <c r="J54" s="14" t="s">
        <v>379</v>
      </c>
      <c r="K54" s="14">
        <v>2000</v>
      </c>
      <c r="L54" s="14" t="s">
        <v>97</v>
      </c>
      <c r="M54" s="4">
        <f t="shared" si="0"/>
        <v>0</v>
      </c>
      <c r="N54" s="4" t="b">
        <f t="shared" si="1"/>
        <v>0</v>
      </c>
    </row>
    <row r="55" spans="1:14" x14ac:dyDescent="0.2">
      <c r="A55" s="14" t="s">
        <v>480</v>
      </c>
      <c r="B55" s="14" t="s">
        <v>372</v>
      </c>
      <c r="C55" s="14" t="s">
        <v>512</v>
      </c>
      <c r="D55" s="14" t="s">
        <v>374</v>
      </c>
      <c r="E55" s="14" t="s">
        <v>513</v>
      </c>
      <c r="F55" s="14" t="s">
        <v>376</v>
      </c>
      <c r="G55" s="14" t="s">
        <v>514</v>
      </c>
      <c r="H55" s="14" t="s">
        <v>372</v>
      </c>
      <c r="I55" s="14" t="s">
        <v>510</v>
      </c>
      <c r="J55" s="14" t="s">
        <v>379</v>
      </c>
      <c r="K55" s="14">
        <v>2050</v>
      </c>
      <c r="L55" s="14" t="s">
        <v>97</v>
      </c>
      <c r="M55" s="4">
        <f t="shared" si="0"/>
        <v>0</v>
      </c>
      <c r="N55" s="4" t="b">
        <f t="shared" si="1"/>
        <v>0</v>
      </c>
    </row>
    <row r="56" spans="1:14" x14ac:dyDescent="0.2">
      <c r="A56" s="14" t="s">
        <v>482</v>
      </c>
      <c r="B56" s="14" t="s">
        <v>372</v>
      </c>
      <c r="C56" s="14" t="s">
        <v>512</v>
      </c>
      <c r="D56" s="14" t="s">
        <v>374</v>
      </c>
      <c r="E56" s="14" t="s">
        <v>513</v>
      </c>
      <c r="F56" s="14" t="s">
        <v>376</v>
      </c>
      <c r="G56" s="14" t="s">
        <v>514</v>
      </c>
      <c r="H56" s="14" t="s">
        <v>372</v>
      </c>
      <c r="I56" s="14" t="s">
        <v>510</v>
      </c>
      <c r="J56" s="14" t="s">
        <v>379</v>
      </c>
      <c r="K56" s="14">
        <v>2100</v>
      </c>
      <c r="L56" s="14" t="s">
        <v>97</v>
      </c>
      <c r="M56" s="4">
        <f t="shared" si="0"/>
        <v>0</v>
      </c>
      <c r="N56" s="4" t="b">
        <f t="shared" si="1"/>
        <v>0</v>
      </c>
    </row>
    <row r="57" spans="1:14" x14ac:dyDescent="0.2">
      <c r="A57" s="14" t="s">
        <v>484</v>
      </c>
      <c r="B57" s="14" t="s">
        <v>372</v>
      </c>
      <c r="C57" s="14" t="s">
        <v>512</v>
      </c>
      <c r="D57" s="14" t="s">
        <v>374</v>
      </c>
      <c r="E57" s="14" t="s">
        <v>513</v>
      </c>
      <c r="F57" s="14" t="s">
        <v>376</v>
      </c>
      <c r="G57" s="14" t="s">
        <v>514</v>
      </c>
      <c r="H57" s="14" t="s">
        <v>372</v>
      </c>
      <c r="I57" s="14" t="s">
        <v>510</v>
      </c>
      <c r="J57" s="14" t="s">
        <v>379</v>
      </c>
      <c r="K57" s="14">
        <v>2150</v>
      </c>
      <c r="L57" s="14" t="s">
        <v>97</v>
      </c>
      <c r="M57" s="4">
        <f t="shared" si="0"/>
        <v>0</v>
      </c>
      <c r="N57" s="4" t="b">
        <f t="shared" si="1"/>
        <v>0</v>
      </c>
    </row>
    <row r="58" spans="1:14" x14ac:dyDescent="0.2">
      <c r="A58" s="14" t="s">
        <v>486</v>
      </c>
      <c r="B58" s="14" t="s">
        <v>372</v>
      </c>
      <c r="C58" s="14" t="s">
        <v>512</v>
      </c>
      <c r="D58" s="14" t="s">
        <v>374</v>
      </c>
      <c r="E58" s="14" t="s">
        <v>513</v>
      </c>
      <c r="F58" s="14" t="s">
        <v>376</v>
      </c>
      <c r="G58" s="14" t="s">
        <v>514</v>
      </c>
      <c r="H58" s="14" t="s">
        <v>372</v>
      </c>
      <c r="I58" s="14" t="s">
        <v>510</v>
      </c>
      <c r="J58" s="14" t="s">
        <v>379</v>
      </c>
      <c r="K58" s="14">
        <v>2200</v>
      </c>
      <c r="L58" s="14" t="s">
        <v>97</v>
      </c>
      <c r="M58" s="4">
        <f t="shared" si="0"/>
        <v>0</v>
      </c>
      <c r="N58" s="4" t="b">
        <f t="shared" si="1"/>
        <v>0</v>
      </c>
    </row>
    <row r="59" spans="1:14" x14ac:dyDescent="0.2">
      <c r="A59" s="14" t="s">
        <v>488</v>
      </c>
      <c r="B59" s="14" t="s">
        <v>372</v>
      </c>
      <c r="C59" s="14" t="s">
        <v>512</v>
      </c>
      <c r="D59" s="14" t="s">
        <v>374</v>
      </c>
      <c r="E59" s="14" t="s">
        <v>513</v>
      </c>
      <c r="F59" s="14" t="s">
        <v>376</v>
      </c>
      <c r="G59" s="14" t="s">
        <v>514</v>
      </c>
      <c r="H59" s="14" t="s">
        <v>372</v>
      </c>
      <c r="I59" s="14" t="s">
        <v>510</v>
      </c>
      <c r="J59" s="14" t="s">
        <v>379</v>
      </c>
      <c r="K59" s="14">
        <v>2250</v>
      </c>
      <c r="L59" s="14" t="s">
        <v>97</v>
      </c>
      <c r="M59" s="4">
        <f t="shared" si="0"/>
        <v>0</v>
      </c>
      <c r="N59" s="4" t="b">
        <f t="shared" si="1"/>
        <v>0</v>
      </c>
    </row>
    <row r="60" spans="1:14" x14ac:dyDescent="0.2">
      <c r="A60" s="14" t="s">
        <v>490</v>
      </c>
      <c r="B60" s="14" t="s">
        <v>372</v>
      </c>
      <c r="C60" s="14" t="s">
        <v>512</v>
      </c>
      <c r="D60" s="14" t="s">
        <v>374</v>
      </c>
      <c r="E60" s="14" t="s">
        <v>513</v>
      </c>
      <c r="F60" s="14" t="s">
        <v>376</v>
      </c>
      <c r="G60" s="14" t="s">
        <v>514</v>
      </c>
      <c r="H60" s="14" t="s">
        <v>372</v>
      </c>
      <c r="I60" s="14" t="s">
        <v>510</v>
      </c>
      <c r="J60" s="14" t="s">
        <v>379</v>
      </c>
      <c r="K60" s="14">
        <v>2300</v>
      </c>
      <c r="L60" s="14" t="s">
        <v>97</v>
      </c>
      <c r="M60" s="4">
        <f t="shared" si="0"/>
        <v>0</v>
      </c>
      <c r="N60" s="4" t="b">
        <f t="shared" si="1"/>
        <v>0</v>
      </c>
    </row>
    <row r="61" spans="1:14" x14ac:dyDescent="0.2">
      <c r="A61" s="14" t="s">
        <v>492</v>
      </c>
      <c r="B61" s="14" t="s">
        <v>372</v>
      </c>
      <c r="C61" s="14" t="s">
        <v>512</v>
      </c>
      <c r="D61" s="14" t="s">
        <v>374</v>
      </c>
      <c r="E61" s="14" t="s">
        <v>513</v>
      </c>
      <c r="F61" s="14" t="s">
        <v>376</v>
      </c>
      <c r="G61" s="14" t="s">
        <v>514</v>
      </c>
      <c r="H61" s="14" t="s">
        <v>372</v>
      </c>
      <c r="I61" s="14" t="s">
        <v>510</v>
      </c>
      <c r="J61" s="14" t="s">
        <v>379</v>
      </c>
      <c r="K61" s="14">
        <v>2350</v>
      </c>
      <c r="L61" s="14" t="s">
        <v>97</v>
      </c>
      <c r="M61" s="4">
        <f t="shared" si="0"/>
        <v>0</v>
      </c>
      <c r="N61" s="4" t="b">
        <f t="shared" si="1"/>
        <v>0</v>
      </c>
    </row>
    <row r="62" spans="1:14" x14ac:dyDescent="0.2">
      <c r="A62" s="14" t="s">
        <v>494</v>
      </c>
      <c r="B62" s="14" t="s">
        <v>372</v>
      </c>
      <c r="C62" s="14" t="s">
        <v>512</v>
      </c>
      <c r="D62" s="14" t="s">
        <v>374</v>
      </c>
      <c r="E62" s="14" t="s">
        <v>513</v>
      </c>
      <c r="F62" s="14" t="s">
        <v>376</v>
      </c>
      <c r="G62" s="14" t="s">
        <v>514</v>
      </c>
      <c r="H62" s="14" t="s">
        <v>372</v>
      </c>
      <c r="I62" s="14" t="s">
        <v>510</v>
      </c>
      <c r="J62" s="14" t="s">
        <v>379</v>
      </c>
      <c r="K62" s="14">
        <v>2400</v>
      </c>
      <c r="L62" s="14" t="s">
        <v>97</v>
      </c>
      <c r="M62" s="4">
        <f t="shared" si="0"/>
        <v>0</v>
      </c>
      <c r="N62" s="4" t="b">
        <f t="shared" si="1"/>
        <v>0</v>
      </c>
    </row>
    <row r="63" spans="1:14" x14ac:dyDescent="0.2">
      <c r="A63" s="14" t="s">
        <v>495</v>
      </c>
      <c r="B63" s="14" t="s">
        <v>372</v>
      </c>
      <c r="C63" s="14" t="s">
        <v>512</v>
      </c>
      <c r="D63" s="14" t="s">
        <v>374</v>
      </c>
      <c r="E63" s="14" t="s">
        <v>513</v>
      </c>
      <c r="F63" s="14" t="s">
        <v>376</v>
      </c>
      <c r="G63" s="14" t="s">
        <v>514</v>
      </c>
      <c r="H63" s="14" t="s">
        <v>372</v>
      </c>
      <c r="I63" s="14" t="s">
        <v>510</v>
      </c>
      <c r="J63" s="14" t="s">
        <v>379</v>
      </c>
      <c r="K63" s="14">
        <v>2450</v>
      </c>
      <c r="L63" s="14" t="s">
        <v>97</v>
      </c>
      <c r="M63" s="4">
        <f t="shared" si="0"/>
        <v>0</v>
      </c>
      <c r="N63" s="4" t="b">
        <f t="shared" si="1"/>
        <v>0</v>
      </c>
    </row>
    <row r="64" spans="1:14" x14ac:dyDescent="0.2">
      <c r="A64" s="14" t="s">
        <v>496</v>
      </c>
      <c r="B64" s="14" t="s">
        <v>372</v>
      </c>
      <c r="C64" s="14" t="s">
        <v>512</v>
      </c>
      <c r="D64" s="14" t="s">
        <v>374</v>
      </c>
      <c r="E64" s="14" t="s">
        <v>513</v>
      </c>
      <c r="F64" s="14" t="s">
        <v>376</v>
      </c>
      <c r="G64" s="14" t="s">
        <v>514</v>
      </c>
      <c r="H64" s="14" t="s">
        <v>372</v>
      </c>
      <c r="I64" s="14" t="s">
        <v>510</v>
      </c>
      <c r="J64" s="14" t="s">
        <v>379</v>
      </c>
      <c r="K64" s="14">
        <v>2500</v>
      </c>
      <c r="L64" s="14" t="s">
        <v>97</v>
      </c>
      <c r="M64" s="4">
        <f t="shared" si="0"/>
        <v>0</v>
      </c>
      <c r="N64" s="4" t="b">
        <f t="shared" si="1"/>
        <v>0</v>
      </c>
    </row>
  </sheetData>
  <phoneticPr fontId="6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topLeftCell="A22" workbookViewId="0">
      <selection activeCell="P2" sqref="P2"/>
    </sheetView>
  </sheetViews>
  <sheetFormatPr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10.710937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515</v>
      </c>
      <c r="O1" s="4" t="s">
        <v>370</v>
      </c>
      <c r="P1" s="161">
        <f>'SDM439 DPHY timing'!B3</f>
        <v>390</v>
      </c>
      <c r="Q1" s="4"/>
      <c r="R1" s="4" t="s">
        <v>497</v>
      </c>
      <c r="S1" s="4">
        <f>LOOKUP("SELECT",N2:N64,M2:M64)</f>
        <v>3</v>
      </c>
    </row>
    <row r="2" spans="1:19" x14ac:dyDescent="0.2">
      <c r="A2" s="14" t="s">
        <v>371</v>
      </c>
      <c r="B2" s="14" t="s">
        <v>372</v>
      </c>
      <c r="C2" s="14" t="s">
        <v>516</v>
      </c>
      <c r="D2" s="14" t="s">
        <v>374</v>
      </c>
      <c r="E2" s="14" t="s">
        <v>517</v>
      </c>
      <c r="F2" s="14" t="s">
        <v>376</v>
      </c>
      <c r="G2" s="14" t="s">
        <v>518</v>
      </c>
      <c r="H2" s="14" t="s">
        <v>372</v>
      </c>
      <c r="I2" s="14" t="s">
        <v>519</v>
      </c>
      <c r="J2" s="14" t="s">
        <v>379</v>
      </c>
      <c r="K2" s="14">
        <v>80</v>
      </c>
      <c r="L2" s="14" t="s">
        <v>97</v>
      </c>
      <c r="M2" s="4">
        <f>_xlfn.NUMBERVALUE(MID(I2,5,2))</f>
        <v>0</v>
      </c>
      <c r="N2" s="4" t="b">
        <f>IF($P$1&gt;=K2,IF($P$1&lt;K3,"SELECT"))</f>
        <v>0</v>
      </c>
    </row>
    <row r="3" spans="1:19" x14ac:dyDescent="0.2">
      <c r="A3" s="14" t="s">
        <v>380</v>
      </c>
      <c r="B3" s="14" t="s">
        <v>372</v>
      </c>
      <c r="C3" s="14" t="s">
        <v>516</v>
      </c>
      <c r="D3" s="14" t="s">
        <v>374</v>
      </c>
      <c r="E3" s="14" t="s">
        <v>517</v>
      </c>
      <c r="F3" s="14" t="s">
        <v>376</v>
      </c>
      <c r="G3" s="14" t="s">
        <v>518</v>
      </c>
      <c r="H3" s="14" t="s">
        <v>372</v>
      </c>
      <c r="I3" s="14" t="s">
        <v>519</v>
      </c>
      <c r="J3" s="14" t="s">
        <v>379</v>
      </c>
      <c r="K3" s="14">
        <v>90</v>
      </c>
      <c r="L3" s="14" t="s">
        <v>97</v>
      </c>
      <c r="M3" s="4">
        <f t="shared" ref="M3:M64" si="0">_xlfn.NUMBERVALUE(MID(I3,5,2))</f>
        <v>0</v>
      </c>
      <c r="N3" s="4" t="b">
        <f t="shared" ref="N3:N64" si="1">IF($P$1&gt;=K3,IF($P$1&lt;K4,"SELECT"))</f>
        <v>0</v>
      </c>
    </row>
    <row r="4" spans="1:19" x14ac:dyDescent="0.2">
      <c r="A4" s="14" t="s">
        <v>382</v>
      </c>
      <c r="B4" s="14" t="s">
        <v>372</v>
      </c>
      <c r="C4" s="14" t="s">
        <v>516</v>
      </c>
      <c r="D4" s="14" t="s">
        <v>374</v>
      </c>
      <c r="E4" s="14" t="s">
        <v>517</v>
      </c>
      <c r="F4" s="14" t="s">
        <v>376</v>
      </c>
      <c r="G4" s="14" t="s">
        <v>518</v>
      </c>
      <c r="H4" s="14" t="s">
        <v>372</v>
      </c>
      <c r="I4" s="14" t="s">
        <v>519</v>
      </c>
      <c r="J4" s="14" t="s">
        <v>379</v>
      </c>
      <c r="K4" s="14">
        <v>100</v>
      </c>
      <c r="L4" s="14" t="s">
        <v>97</v>
      </c>
      <c r="M4" s="4">
        <f t="shared" si="0"/>
        <v>0</v>
      </c>
      <c r="N4" s="4" t="b">
        <f t="shared" si="1"/>
        <v>0</v>
      </c>
    </row>
    <row r="5" spans="1:19" x14ac:dyDescent="0.2">
      <c r="A5" s="14" t="s">
        <v>383</v>
      </c>
      <c r="B5" s="14" t="s">
        <v>372</v>
      </c>
      <c r="C5" s="14" t="s">
        <v>516</v>
      </c>
      <c r="D5" s="14" t="s">
        <v>374</v>
      </c>
      <c r="E5" s="14" t="s">
        <v>517</v>
      </c>
      <c r="F5" s="14" t="s">
        <v>376</v>
      </c>
      <c r="G5" s="14" t="s">
        <v>518</v>
      </c>
      <c r="H5" s="14" t="s">
        <v>372</v>
      </c>
      <c r="I5" s="14" t="s">
        <v>519</v>
      </c>
      <c r="J5" s="14" t="s">
        <v>379</v>
      </c>
      <c r="K5" s="14">
        <v>110</v>
      </c>
      <c r="L5" s="14" t="s">
        <v>97</v>
      </c>
      <c r="M5" s="4">
        <f t="shared" si="0"/>
        <v>0</v>
      </c>
      <c r="N5" s="4" t="b">
        <f t="shared" si="1"/>
        <v>0</v>
      </c>
    </row>
    <row r="6" spans="1:19" x14ac:dyDescent="0.2">
      <c r="A6" s="14" t="s">
        <v>385</v>
      </c>
      <c r="B6" s="14" t="s">
        <v>372</v>
      </c>
      <c r="C6" s="14" t="s">
        <v>516</v>
      </c>
      <c r="D6" s="14" t="s">
        <v>374</v>
      </c>
      <c r="E6" s="14" t="s">
        <v>517</v>
      </c>
      <c r="F6" s="14" t="s">
        <v>376</v>
      </c>
      <c r="G6" s="14" t="s">
        <v>518</v>
      </c>
      <c r="H6" s="14" t="s">
        <v>372</v>
      </c>
      <c r="I6" s="14" t="s">
        <v>520</v>
      </c>
      <c r="J6" s="14" t="s">
        <v>379</v>
      </c>
      <c r="K6" s="14">
        <v>120</v>
      </c>
      <c r="L6" s="14" t="s">
        <v>97</v>
      </c>
      <c r="M6" s="4">
        <f t="shared" si="0"/>
        <v>1</v>
      </c>
      <c r="N6" s="4" t="b">
        <f t="shared" si="1"/>
        <v>0</v>
      </c>
    </row>
    <row r="7" spans="1:19" x14ac:dyDescent="0.2">
      <c r="A7" s="14" t="s">
        <v>387</v>
      </c>
      <c r="B7" s="14" t="s">
        <v>372</v>
      </c>
      <c r="C7" s="14" t="s">
        <v>516</v>
      </c>
      <c r="D7" s="14" t="s">
        <v>374</v>
      </c>
      <c r="E7" s="14" t="s">
        <v>517</v>
      </c>
      <c r="F7" s="14" t="s">
        <v>376</v>
      </c>
      <c r="G7" s="14" t="s">
        <v>518</v>
      </c>
      <c r="H7" s="14" t="s">
        <v>372</v>
      </c>
      <c r="I7" s="14" t="s">
        <v>520</v>
      </c>
      <c r="J7" s="14" t="s">
        <v>379</v>
      </c>
      <c r="K7" s="14">
        <v>130</v>
      </c>
      <c r="L7" s="14" t="s">
        <v>97</v>
      </c>
      <c r="M7" s="4">
        <f t="shared" si="0"/>
        <v>1</v>
      </c>
      <c r="N7" s="4" t="b">
        <f t="shared" si="1"/>
        <v>0</v>
      </c>
    </row>
    <row r="8" spans="1:19" x14ac:dyDescent="0.2">
      <c r="A8" s="14" t="s">
        <v>388</v>
      </c>
      <c r="B8" s="14" t="s">
        <v>372</v>
      </c>
      <c r="C8" s="14" t="s">
        <v>516</v>
      </c>
      <c r="D8" s="14" t="s">
        <v>374</v>
      </c>
      <c r="E8" s="14" t="s">
        <v>517</v>
      </c>
      <c r="F8" s="14" t="s">
        <v>376</v>
      </c>
      <c r="G8" s="14" t="s">
        <v>518</v>
      </c>
      <c r="H8" s="14" t="s">
        <v>372</v>
      </c>
      <c r="I8" s="14" t="s">
        <v>520</v>
      </c>
      <c r="J8" s="14" t="s">
        <v>379</v>
      </c>
      <c r="K8" s="14">
        <v>140</v>
      </c>
      <c r="L8" s="14" t="s">
        <v>97</v>
      </c>
      <c r="M8" s="4">
        <f t="shared" si="0"/>
        <v>1</v>
      </c>
      <c r="N8" s="4" t="b">
        <f t="shared" si="1"/>
        <v>0</v>
      </c>
    </row>
    <row r="9" spans="1:19" x14ac:dyDescent="0.2">
      <c r="A9" s="14" t="s">
        <v>390</v>
      </c>
      <c r="B9" s="14" t="s">
        <v>372</v>
      </c>
      <c r="C9" s="14" t="s">
        <v>516</v>
      </c>
      <c r="D9" s="14" t="s">
        <v>374</v>
      </c>
      <c r="E9" s="14" t="s">
        <v>517</v>
      </c>
      <c r="F9" s="14" t="s">
        <v>376</v>
      </c>
      <c r="G9" s="14" t="s">
        <v>518</v>
      </c>
      <c r="H9" s="14" t="s">
        <v>372</v>
      </c>
      <c r="I9" s="14" t="s">
        <v>520</v>
      </c>
      <c r="J9" s="14" t="s">
        <v>379</v>
      </c>
      <c r="K9" s="14">
        <v>150</v>
      </c>
      <c r="L9" s="14" t="s">
        <v>97</v>
      </c>
      <c r="M9" s="4">
        <f t="shared" si="0"/>
        <v>1</v>
      </c>
      <c r="N9" s="4" t="b">
        <f t="shared" si="1"/>
        <v>0</v>
      </c>
    </row>
    <row r="10" spans="1:19" x14ac:dyDescent="0.2">
      <c r="A10" s="14" t="s">
        <v>392</v>
      </c>
      <c r="B10" s="14" t="s">
        <v>372</v>
      </c>
      <c r="C10" s="14" t="s">
        <v>516</v>
      </c>
      <c r="D10" s="14" t="s">
        <v>374</v>
      </c>
      <c r="E10" s="14" t="s">
        <v>517</v>
      </c>
      <c r="F10" s="14" t="s">
        <v>376</v>
      </c>
      <c r="G10" s="14" t="s">
        <v>518</v>
      </c>
      <c r="H10" s="14" t="s">
        <v>372</v>
      </c>
      <c r="I10" s="14" t="s">
        <v>520</v>
      </c>
      <c r="J10" s="14" t="s">
        <v>379</v>
      </c>
      <c r="K10" s="14">
        <v>160</v>
      </c>
      <c r="L10" s="14" t="s">
        <v>97</v>
      </c>
      <c r="M10" s="4">
        <f t="shared" si="0"/>
        <v>1</v>
      </c>
      <c r="N10" s="4" t="b">
        <f t="shared" si="1"/>
        <v>0</v>
      </c>
    </row>
    <row r="11" spans="1:19" x14ac:dyDescent="0.2">
      <c r="A11" s="14" t="s">
        <v>393</v>
      </c>
      <c r="B11" s="14" t="s">
        <v>372</v>
      </c>
      <c r="C11" s="14" t="s">
        <v>516</v>
      </c>
      <c r="D11" s="14" t="s">
        <v>374</v>
      </c>
      <c r="E11" s="14" t="s">
        <v>517</v>
      </c>
      <c r="F11" s="14" t="s">
        <v>376</v>
      </c>
      <c r="G11" s="14" t="s">
        <v>518</v>
      </c>
      <c r="H11" s="14" t="s">
        <v>372</v>
      </c>
      <c r="I11" s="14" t="s">
        <v>520</v>
      </c>
      <c r="J11" s="14" t="s">
        <v>379</v>
      </c>
      <c r="K11" s="14">
        <v>170</v>
      </c>
      <c r="L11" s="14" t="s">
        <v>97</v>
      </c>
      <c r="M11" s="4">
        <f t="shared" si="0"/>
        <v>1</v>
      </c>
      <c r="N11" s="4" t="b">
        <f t="shared" si="1"/>
        <v>0</v>
      </c>
    </row>
    <row r="12" spans="1:19" x14ac:dyDescent="0.2">
      <c r="A12" s="14" t="s">
        <v>395</v>
      </c>
      <c r="B12" s="14" t="s">
        <v>372</v>
      </c>
      <c r="C12" s="14" t="s">
        <v>516</v>
      </c>
      <c r="D12" s="14" t="s">
        <v>374</v>
      </c>
      <c r="E12" s="14" t="s">
        <v>517</v>
      </c>
      <c r="F12" s="14" t="s">
        <v>376</v>
      </c>
      <c r="G12" s="14" t="s">
        <v>518</v>
      </c>
      <c r="H12" s="14" t="s">
        <v>372</v>
      </c>
      <c r="I12" s="14" t="s">
        <v>520</v>
      </c>
      <c r="J12" s="14" t="s">
        <v>379</v>
      </c>
      <c r="K12" s="14">
        <v>180</v>
      </c>
      <c r="L12" s="14" t="s">
        <v>97</v>
      </c>
      <c r="M12" s="4">
        <f t="shared" si="0"/>
        <v>1</v>
      </c>
      <c r="N12" s="4" t="b">
        <f t="shared" si="1"/>
        <v>0</v>
      </c>
    </row>
    <row r="13" spans="1:19" x14ac:dyDescent="0.2">
      <c r="A13" s="14" t="s">
        <v>396</v>
      </c>
      <c r="B13" s="14" t="s">
        <v>372</v>
      </c>
      <c r="C13" s="14" t="s">
        <v>516</v>
      </c>
      <c r="D13" s="14" t="s">
        <v>374</v>
      </c>
      <c r="E13" s="14" t="s">
        <v>517</v>
      </c>
      <c r="F13" s="14" t="s">
        <v>376</v>
      </c>
      <c r="G13" s="14" t="s">
        <v>518</v>
      </c>
      <c r="H13" s="14" t="s">
        <v>372</v>
      </c>
      <c r="I13" s="14" t="s">
        <v>520</v>
      </c>
      <c r="J13" s="14" t="s">
        <v>379</v>
      </c>
      <c r="K13" s="14">
        <v>190</v>
      </c>
      <c r="L13" s="14" t="s">
        <v>97</v>
      </c>
      <c r="M13" s="4">
        <f t="shared" si="0"/>
        <v>1</v>
      </c>
      <c r="N13" s="4" t="b">
        <f t="shared" si="1"/>
        <v>0</v>
      </c>
    </row>
    <row r="14" spans="1:19" x14ac:dyDescent="0.2">
      <c r="A14" s="14" t="s">
        <v>398</v>
      </c>
      <c r="B14" s="14" t="s">
        <v>372</v>
      </c>
      <c r="C14" s="14" t="s">
        <v>516</v>
      </c>
      <c r="D14" s="14" t="s">
        <v>374</v>
      </c>
      <c r="E14" s="14" t="s">
        <v>517</v>
      </c>
      <c r="F14" s="14" t="s">
        <v>376</v>
      </c>
      <c r="G14" s="14" t="s">
        <v>518</v>
      </c>
      <c r="H14" s="14" t="s">
        <v>372</v>
      </c>
      <c r="I14" s="14" t="s">
        <v>520</v>
      </c>
      <c r="J14" s="14" t="s">
        <v>379</v>
      </c>
      <c r="K14" s="14">
        <v>205</v>
      </c>
      <c r="L14" s="14" t="s">
        <v>97</v>
      </c>
      <c r="M14" s="4">
        <f t="shared" si="0"/>
        <v>1</v>
      </c>
      <c r="N14" s="4" t="b">
        <f t="shared" si="1"/>
        <v>0</v>
      </c>
    </row>
    <row r="15" spans="1:19" x14ac:dyDescent="0.2">
      <c r="A15" s="14" t="s">
        <v>400</v>
      </c>
      <c r="B15" s="14" t="s">
        <v>372</v>
      </c>
      <c r="C15" s="14" t="s">
        <v>516</v>
      </c>
      <c r="D15" s="14" t="s">
        <v>374</v>
      </c>
      <c r="E15" s="14" t="s">
        <v>517</v>
      </c>
      <c r="F15" s="14" t="s">
        <v>376</v>
      </c>
      <c r="G15" s="14" t="s">
        <v>518</v>
      </c>
      <c r="H15" s="14" t="s">
        <v>372</v>
      </c>
      <c r="I15" s="14" t="s">
        <v>521</v>
      </c>
      <c r="J15" s="14" t="s">
        <v>379</v>
      </c>
      <c r="K15" s="14">
        <v>220</v>
      </c>
      <c r="L15" s="14" t="s">
        <v>97</v>
      </c>
      <c r="M15" s="4">
        <f t="shared" si="0"/>
        <v>2</v>
      </c>
      <c r="N15" s="4" t="b">
        <f t="shared" si="1"/>
        <v>0</v>
      </c>
    </row>
    <row r="16" spans="1:19" x14ac:dyDescent="0.2">
      <c r="A16" s="14" t="s">
        <v>402</v>
      </c>
      <c r="B16" s="14" t="s">
        <v>372</v>
      </c>
      <c r="C16" s="14" t="s">
        <v>516</v>
      </c>
      <c r="D16" s="14" t="s">
        <v>374</v>
      </c>
      <c r="E16" s="14" t="s">
        <v>517</v>
      </c>
      <c r="F16" s="14" t="s">
        <v>376</v>
      </c>
      <c r="G16" s="14" t="s">
        <v>518</v>
      </c>
      <c r="H16" s="14" t="s">
        <v>372</v>
      </c>
      <c r="I16" s="14" t="s">
        <v>521</v>
      </c>
      <c r="J16" s="14" t="s">
        <v>379</v>
      </c>
      <c r="K16" s="14">
        <v>235</v>
      </c>
      <c r="L16" s="14" t="s">
        <v>97</v>
      </c>
      <c r="M16" s="4">
        <f t="shared" si="0"/>
        <v>2</v>
      </c>
      <c r="N16" s="4" t="b">
        <f t="shared" si="1"/>
        <v>0</v>
      </c>
    </row>
    <row r="17" spans="1:14" x14ac:dyDescent="0.2">
      <c r="A17" s="14" t="s">
        <v>404</v>
      </c>
      <c r="B17" s="14" t="s">
        <v>372</v>
      </c>
      <c r="C17" s="14" t="s">
        <v>516</v>
      </c>
      <c r="D17" s="14" t="s">
        <v>374</v>
      </c>
      <c r="E17" s="14" t="s">
        <v>517</v>
      </c>
      <c r="F17" s="14" t="s">
        <v>376</v>
      </c>
      <c r="G17" s="14" t="s">
        <v>518</v>
      </c>
      <c r="H17" s="14" t="s">
        <v>372</v>
      </c>
      <c r="I17" s="14" t="s">
        <v>521</v>
      </c>
      <c r="J17" s="14" t="s">
        <v>379</v>
      </c>
      <c r="K17" s="14">
        <v>250</v>
      </c>
      <c r="L17" s="14" t="s">
        <v>97</v>
      </c>
      <c r="M17" s="4">
        <f t="shared" si="0"/>
        <v>2</v>
      </c>
      <c r="N17" s="4" t="b">
        <f t="shared" si="1"/>
        <v>0</v>
      </c>
    </row>
    <row r="18" spans="1:14" x14ac:dyDescent="0.2">
      <c r="A18" s="14" t="s">
        <v>406</v>
      </c>
      <c r="B18" s="14" t="s">
        <v>372</v>
      </c>
      <c r="C18" s="14" t="s">
        <v>516</v>
      </c>
      <c r="D18" s="14" t="s">
        <v>374</v>
      </c>
      <c r="E18" s="14" t="s">
        <v>517</v>
      </c>
      <c r="F18" s="14" t="s">
        <v>376</v>
      </c>
      <c r="G18" s="14" t="s">
        <v>518</v>
      </c>
      <c r="H18" s="14" t="s">
        <v>372</v>
      </c>
      <c r="I18" s="14" t="s">
        <v>521</v>
      </c>
      <c r="J18" s="14" t="s">
        <v>379</v>
      </c>
      <c r="K18" s="14">
        <v>275</v>
      </c>
      <c r="L18" s="14" t="s">
        <v>97</v>
      </c>
      <c r="M18" s="4">
        <f t="shared" si="0"/>
        <v>2</v>
      </c>
      <c r="N18" s="4" t="b">
        <f t="shared" si="1"/>
        <v>0</v>
      </c>
    </row>
    <row r="19" spans="1:14" x14ac:dyDescent="0.2">
      <c r="A19" s="14" t="s">
        <v>408</v>
      </c>
      <c r="B19" s="14" t="s">
        <v>372</v>
      </c>
      <c r="C19" s="14" t="s">
        <v>516</v>
      </c>
      <c r="D19" s="14" t="s">
        <v>374</v>
      </c>
      <c r="E19" s="14" t="s">
        <v>517</v>
      </c>
      <c r="F19" s="14" t="s">
        <v>376</v>
      </c>
      <c r="G19" s="14" t="s">
        <v>518</v>
      </c>
      <c r="H19" s="14" t="s">
        <v>372</v>
      </c>
      <c r="I19" s="14" t="s">
        <v>521</v>
      </c>
      <c r="J19" s="14" t="s">
        <v>379</v>
      </c>
      <c r="K19" s="14">
        <v>300</v>
      </c>
      <c r="L19" s="14" t="s">
        <v>97</v>
      </c>
      <c r="M19" s="4">
        <f t="shared" si="0"/>
        <v>2</v>
      </c>
      <c r="N19" s="4" t="b">
        <f t="shared" si="1"/>
        <v>0</v>
      </c>
    </row>
    <row r="20" spans="1:14" x14ac:dyDescent="0.2">
      <c r="A20" s="14" t="s">
        <v>410</v>
      </c>
      <c r="B20" s="14" t="s">
        <v>372</v>
      </c>
      <c r="C20" s="14" t="s">
        <v>516</v>
      </c>
      <c r="D20" s="14" t="s">
        <v>374</v>
      </c>
      <c r="E20" s="14" t="s">
        <v>517</v>
      </c>
      <c r="F20" s="14" t="s">
        <v>376</v>
      </c>
      <c r="G20" s="14" t="s">
        <v>518</v>
      </c>
      <c r="H20" s="14" t="s">
        <v>372</v>
      </c>
      <c r="I20" s="14" t="s">
        <v>522</v>
      </c>
      <c r="J20" s="14" t="s">
        <v>379</v>
      </c>
      <c r="K20" s="14">
        <v>325</v>
      </c>
      <c r="L20" s="14" t="s">
        <v>97</v>
      </c>
      <c r="M20" s="4">
        <f t="shared" si="0"/>
        <v>3</v>
      </c>
      <c r="N20" s="4" t="b">
        <f t="shared" si="1"/>
        <v>0</v>
      </c>
    </row>
    <row r="21" spans="1:14" x14ac:dyDescent="0.2">
      <c r="A21" s="14" t="s">
        <v>412</v>
      </c>
      <c r="B21" s="14" t="s">
        <v>372</v>
      </c>
      <c r="C21" s="14" t="s">
        <v>516</v>
      </c>
      <c r="D21" s="14" t="s">
        <v>374</v>
      </c>
      <c r="E21" s="14" t="s">
        <v>517</v>
      </c>
      <c r="F21" s="14" t="s">
        <v>376</v>
      </c>
      <c r="G21" s="14" t="s">
        <v>518</v>
      </c>
      <c r="H21" s="14" t="s">
        <v>372</v>
      </c>
      <c r="I21" s="14" t="s">
        <v>522</v>
      </c>
      <c r="J21" s="14" t="s">
        <v>379</v>
      </c>
      <c r="K21" s="14">
        <v>350</v>
      </c>
      <c r="L21" s="14" t="s">
        <v>97</v>
      </c>
      <c r="M21" s="4">
        <f t="shared" si="0"/>
        <v>3</v>
      </c>
      <c r="N21" s="4" t="str">
        <f t="shared" si="1"/>
        <v>SELECT</v>
      </c>
    </row>
    <row r="22" spans="1:14" x14ac:dyDescent="0.2">
      <c r="A22" s="14" t="s">
        <v>414</v>
      </c>
      <c r="B22" s="14" t="s">
        <v>372</v>
      </c>
      <c r="C22" s="14" t="s">
        <v>516</v>
      </c>
      <c r="D22" s="14" t="s">
        <v>374</v>
      </c>
      <c r="E22" s="14" t="s">
        <v>517</v>
      </c>
      <c r="F22" s="14" t="s">
        <v>376</v>
      </c>
      <c r="G22" s="14" t="s">
        <v>518</v>
      </c>
      <c r="H22" s="14" t="s">
        <v>372</v>
      </c>
      <c r="I22" s="14" t="s">
        <v>523</v>
      </c>
      <c r="J22" s="14" t="s">
        <v>379</v>
      </c>
      <c r="K22" s="14">
        <v>400</v>
      </c>
      <c r="L22" s="14" t="s">
        <v>97</v>
      </c>
      <c r="M22" s="4">
        <f t="shared" si="0"/>
        <v>4</v>
      </c>
      <c r="N22" s="4" t="b">
        <f t="shared" si="1"/>
        <v>0</v>
      </c>
    </row>
    <row r="23" spans="1:14" x14ac:dyDescent="0.2">
      <c r="A23" s="14" t="s">
        <v>416</v>
      </c>
      <c r="B23" s="14" t="s">
        <v>372</v>
      </c>
      <c r="C23" s="14" t="s">
        <v>516</v>
      </c>
      <c r="D23" s="14" t="s">
        <v>374</v>
      </c>
      <c r="E23" s="14" t="s">
        <v>517</v>
      </c>
      <c r="F23" s="14" t="s">
        <v>376</v>
      </c>
      <c r="G23" s="14" t="s">
        <v>518</v>
      </c>
      <c r="H23" s="14" t="s">
        <v>372</v>
      </c>
      <c r="I23" s="14" t="s">
        <v>524</v>
      </c>
      <c r="J23" s="14" t="s">
        <v>379</v>
      </c>
      <c r="K23" s="14">
        <v>450</v>
      </c>
      <c r="L23" s="14" t="s">
        <v>97</v>
      </c>
      <c r="M23" s="4">
        <f t="shared" si="0"/>
        <v>5</v>
      </c>
      <c r="N23" s="4" t="b">
        <f t="shared" si="1"/>
        <v>0</v>
      </c>
    </row>
    <row r="24" spans="1:14" x14ac:dyDescent="0.2">
      <c r="A24" s="14" t="s">
        <v>418</v>
      </c>
      <c r="B24" s="14" t="s">
        <v>372</v>
      </c>
      <c r="C24" s="14" t="s">
        <v>516</v>
      </c>
      <c r="D24" s="14" t="s">
        <v>374</v>
      </c>
      <c r="E24" s="14" t="s">
        <v>517</v>
      </c>
      <c r="F24" s="14" t="s">
        <v>376</v>
      </c>
      <c r="G24" s="14" t="s">
        <v>518</v>
      </c>
      <c r="H24" s="14" t="s">
        <v>372</v>
      </c>
      <c r="I24" s="14" t="s">
        <v>524</v>
      </c>
      <c r="J24" s="14" t="s">
        <v>379</v>
      </c>
      <c r="K24" s="14">
        <v>500</v>
      </c>
      <c r="L24" s="14" t="s">
        <v>97</v>
      </c>
      <c r="M24" s="4">
        <f t="shared" si="0"/>
        <v>5</v>
      </c>
      <c r="N24" s="4" t="b">
        <f t="shared" si="1"/>
        <v>0</v>
      </c>
    </row>
    <row r="25" spans="1:14" x14ac:dyDescent="0.2">
      <c r="A25" s="14" t="s">
        <v>420</v>
      </c>
      <c r="B25" s="14" t="s">
        <v>372</v>
      </c>
      <c r="C25" s="14" t="s">
        <v>516</v>
      </c>
      <c r="D25" s="14" t="s">
        <v>374</v>
      </c>
      <c r="E25" s="14" t="s">
        <v>517</v>
      </c>
      <c r="F25" s="14" t="s">
        <v>376</v>
      </c>
      <c r="G25" s="14" t="s">
        <v>518</v>
      </c>
      <c r="H25" s="14" t="s">
        <v>372</v>
      </c>
      <c r="I25" s="14" t="s">
        <v>525</v>
      </c>
      <c r="J25" s="14" t="s">
        <v>379</v>
      </c>
      <c r="K25" s="14">
        <v>550</v>
      </c>
      <c r="L25" s="14" t="s">
        <v>97</v>
      </c>
      <c r="M25" s="4">
        <f t="shared" si="0"/>
        <v>6</v>
      </c>
      <c r="N25" s="4" t="b">
        <f t="shared" si="1"/>
        <v>0</v>
      </c>
    </row>
    <row r="26" spans="1:14" x14ac:dyDescent="0.2">
      <c r="A26" s="14" t="s">
        <v>422</v>
      </c>
      <c r="B26" s="14" t="s">
        <v>372</v>
      </c>
      <c r="C26" s="14" t="s">
        <v>516</v>
      </c>
      <c r="D26" s="14" t="s">
        <v>374</v>
      </c>
      <c r="E26" s="14" t="s">
        <v>517</v>
      </c>
      <c r="F26" s="14" t="s">
        <v>376</v>
      </c>
      <c r="G26" s="14" t="s">
        <v>518</v>
      </c>
      <c r="H26" s="14" t="s">
        <v>372</v>
      </c>
      <c r="I26" s="14" t="s">
        <v>525</v>
      </c>
      <c r="J26" s="14" t="s">
        <v>379</v>
      </c>
      <c r="K26" s="14">
        <v>600</v>
      </c>
      <c r="L26" s="14" t="s">
        <v>97</v>
      </c>
      <c r="M26" s="4">
        <f t="shared" si="0"/>
        <v>6</v>
      </c>
      <c r="N26" s="4" t="b">
        <f t="shared" si="1"/>
        <v>0</v>
      </c>
    </row>
    <row r="27" spans="1:14" x14ac:dyDescent="0.2">
      <c r="A27" s="14" t="s">
        <v>424</v>
      </c>
      <c r="B27" s="14" t="s">
        <v>372</v>
      </c>
      <c r="C27" s="14" t="s">
        <v>516</v>
      </c>
      <c r="D27" s="14" t="s">
        <v>374</v>
      </c>
      <c r="E27" s="14" t="s">
        <v>517</v>
      </c>
      <c r="F27" s="14" t="s">
        <v>376</v>
      </c>
      <c r="G27" s="14" t="s">
        <v>518</v>
      </c>
      <c r="H27" s="14" t="s">
        <v>372</v>
      </c>
      <c r="I27" s="14" t="s">
        <v>526</v>
      </c>
      <c r="J27" s="14" t="s">
        <v>379</v>
      </c>
      <c r="K27" s="14">
        <v>650</v>
      </c>
      <c r="L27" s="14" t="s">
        <v>97</v>
      </c>
      <c r="M27" s="4">
        <f t="shared" si="0"/>
        <v>7</v>
      </c>
      <c r="N27" s="4" t="b">
        <f t="shared" si="1"/>
        <v>0</v>
      </c>
    </row>
    <row r="28" spans="1:14" x14ac:dyDescent="0.2">
      <c r="A28" s="14" t="s">
        <v>426</v>
      </c>
      <c r="B28" s="14" t="s">
        <v>372</v>
      </c>
      <c r="C28" s="14" t="s">
        <v>516</v>
      </c>
      <c r="D28" s="14" t="s">
        <v>374</v>
      </c>
      <c r="E28" s="14" t="s">
        <v>517</v>
      </c>
      <c r="F28" s="14" t="s">
        <v>376</v>
      </c>
      <c r="G28" s="14" t="s">
        <v>518</v>
      </c>
      <c r="H28" s="14" t="s">
        <v>372</v>
      </c>
      <c r="I28" s="14" t="s">
        <v>527</v>
      </c>
      <c r="J28" s="14" t="s">
        <v>379</v>
      </c>
      <c r="K28" s="14">
        <v>700</v>
      </c>
      <c r="L28" s="14" t="s">
        <v>97</v>
      </c>
      <c r="M28" s="4">
        <f t="shared" si="0"/>
        <v>8</v>
      </c>
      <c r="N28" s="4" t="b">
        <f t="shared" si="1"/>
        <v>0</v>
      </c>
    </row>
    <row r="29" spans="1:14" x14ac:dyDescent="0.2">
      <c r="A29" s="14" t="s">
        <v>428</v>
      </c>
      <c r="B29" s="14" t="s">
        <v>372</v>
      </c>
      <c r="C29" s="14" t="s">
        <v>516</v>
      </c>
      <c r="D29" s="14" t="s">
        <v>374</v>
      </c>
      <c r="E29" s="14" t="s">
        <v>517</v>
      </c>
      <c r="F29" s="14" t="s">
        <v>376</v>
      </c>
      <c r="G29" s="14" t="s">
        <v>518</v>
      </c>
      <c r="H29" s="14" t="s">
        <v>372</v>
      </c>
      <c r="I29" s="14" t="s">
        <v>527</v>
      </c>
      <c r="J29" s="14" t="s">
        <v>379</v>
      </c>
      <c r="K29" s="14">
        <v>750</v>
      </c>
      <c r="L29" s="14" t="s">
        <v>97</v>
      </c>
      <c r="M29" s="4">
        <f t="shared" si="0"/>
        <v>8</v>
      </c>
      <c r="N29" s="4" t="b">
        <f t="shared" si="1"/>
        <v>0</v>
      </c>
    </row>
    <row r="30" spans="1:14" x14ac:dyDescent="0.2">
      <c r="A30" s="14" t="s">
        <v>430</v>
      </c>
      <c r="B30" s="14" t="s">
        <v>372</v>
      </c>
      <c r="C30" s="14" t="s">
        <v>516</v>
      </c>
      <c r="D30" s="14" t="s">
        <v>374</v>
      </c>
      <c r="E30" s="14" t="s">
        <v>517</v>
      </c>
      <c r="F30" s="14" t="s">
        <v>376</v>
      </c>
      <c r="G30" s="14" t="s">
        <v>518</v>
      </c>
      <c r="H30" s="14" t="s">
        <v>372</v>
      </c>
      <c r="I30" s="14" t="s">
        <v>527</v>
      </c>
      <c r="J30" s="14" t="s">
        <v>379</v>
      </c>
      <c r="K30" s="14">
        <v>800</v>
      </c>
      <c r="L30" s="14" t="s">
        <v>97</v>
      </c>
      <c r="M30" s="4">
        <f t="shared" si="0"/>
        <v>8</v>
      </c>
      <c r="N30" s="4" t="b">
        <f t="shared" si="1"/>
        <v>0</v>
      </c>
    </row>
    <row r="31" spans="1:14" x14ac:dyDescent="0.2">
      <c r="A31" s="14" t="s">
        <v>432</v>
      </c>
      <c r="B31" s="14" t="s">
        <v>372</v>
      </c>
      <c r="C31" s="14" t="s">
        <v>516</v>
      </c>
      <c r="D31" s="14" t="s">
        <v>374</v>
      </c>
      <c r="E31" s="14" t="s">
        <v>517</v>
      </c>
      <c r="F31" s="14" t="s">
        <v>376</v>
      </c>
      <c r="G31" s="14" t="s">
        <v>518</v>
      </c>
      <c r="H31" s="14" t="s">
        <v>372</v>
      </c>
      <c r="I31" s="14" t="s">
        <v>527</v>
      </c>
      <c r="J31" s="14" t="s">
        <v>379</v>
      </c>
      <c r="K31" s="14">
        <v>850</v>
      </c>
      <c r="L31" s="14" t="s">
        <v>97</v>
      </c>
      <c r="M31" s="4">
        <f t="shared" si="0"/>
        <v>8</v>
      </c>
      <c r="N31" s="4" t="b">
        <f t="shared" si="1"/>
        <v>0</v>
      </c>
    </row>
    <row r="32" spans="1:14" x14ac:dyDescent="0.2">
      <c r="A32" s="14" t="s">
        <v>434</v>
      </c>
      <c r="B32" s="14" t="s">
        <v>372</v>
      </c>
      <c r="C32" s="14" t="s">
        <v>516</v>
      </c>
      <c r="D32" s="14" t="s">
        <v>374</v>
      </c>
      <c r="E32" s="14" t="s">
        <v>517</v>
      </c>
      <c r="F32" s="14" t="s">
        <v>376</v>
      </c>
      <c r="G32" s="14" t="s">
        <v>518</v>
      </c>
      <c r="H32" s="14" t="s">
        <v>372</v>
      </c>
      <c r="I32" s="14" t="s">
        <v>528</v>
      </c>
      <c r="J32" s="14" t="s">
        <v>379</v>
      </c>
      <c r="K32" s="14">
        <v>900</v>
      </c>
      <c r="L32" s="14" t="s">
        <v>97</v>
      </c>
      <c r="M32" s="4">
        <f t="shared" si="0"/>
        <v>9</v>
      </c>
      <c r="N32" s="4" t="b">
        <f t="shared" si="1"/>
        <v>0</v>
      </c>
    </row>
    <row r="33" spans="1:14" x14ac:dyDescent="0.2">
      <c r="A33" s="14" t="s">
        <v>436</v>
      </c>
      <c r="B33" s="14" t="s">
        <v>372</v>
      </c>
      <c r="C33" s="14" t="s">
        <v>516</v>
      </c>
      <c r="D33" s="14" t="s">
        <v>374</v>
      </c>
      <c r="E33" s="14" t="s">
        <v>517</v>
      </c>
      <c r="F33" s="14" t="s">
        <v>376</v>
      </c>
      <c r="G33" s="14" t="s">
        <v>518</v>
      </c>
      <c r="H33" s="14" t="s">
        <v>372</v>
      </c>
      <c r="I33" s="14" t="s">
        <v>528</v>
      </c>
      <c r="J33" s="14" t="s">
        <v>379</v>
      </c>
      <c r="K33" s="14">
        <v>950</v>
      </c>
      <c r="L33" s="14" t="s">
        <v>97</v>
      </c>
      <c r="M33" s="4">
        <f t="shared" si="0"/>
        <v>9</v>
      </c>
      <c r="N33" s="4" t="b">
        <f t="shared" si="1"/>
        <v>0</v>
      </c>
    </row>
    <row r="34" spans="1:14" x14ac:dyDescent="0.2">
      <c r="A34" s="14" t="s">
        <v>438</v>
      </c>
      <c r="B34" s="14" t="s">
        <v>372</v>
      </c>
      <c r="C34" s="14" t="s">
        <v>516</v>
      </c>
      <c r="D34" s="14" t="s">
        <v>374</v>
      </c>
      <c r="E34" s="14" t="s">
        <v>517</v>
      </c>
      <c r="F34" s="14" t="s">
        <v>376</v>
      </c>
      <c r="G34" s="14" t="s">
        <v>518</v>
      </c>
      <c r="H34" s="14" t="s">
        <v>372</v>
      </c>
      <c r="I34" s="14" t="s">
        <v>529</v>
      </c>
      <c r="J34" s="14" t="s">
        <v>379</v>
      </c>
      <c r="K34" s="14">
        <v>1000</v>
      </c>
      <c r="L34" s="14" t="s">
        <v>97</v>
      </c>
      <c r="M34" s="4">
        <f t="shared" si="0"/>
        <v>10</v>
      </c>
      <c r="N34" s="4" t="b">
        <f t="shared" si="1"/>
        <v>0</v>
      </c>
    </row>
    <row r="35" spans="1:14" x14ac:dyDescent="0.2">
      <c r="A35" s="14" t="s">
        <v>440</v>
      </c>
      <c r="B35" s="14" t="s">
        <v>372</v>
      </c>
      <c r="C35" s="14" t="s">
        <v>516</v>
      </c>
      <c r="D35" s="14" t="s">
        <v>374</v>
      </c>
      <c r="E35" s="14" t="s">
        <v>517</v>
      </c>
      <c r="F35" s="14" t="s">
        <v>376</v>
      </c>
      <c r="G35" s="14" t="s">
        <v>518</v>
      </c>
      <c r="H35" s="14" t="s">
        <v>372</v>
      </c>
      <c r="I35" s="14" t="s">
        <v>529</v>
      </c>
      <c r="J35" s="14" t="s">
        <v>379</v>
      </c>
      <c r="K35" s="14">
        <v>1050</v>
      </c>
      <c r="L35" s="14" t="s">
        <v>97</v>
      </c>
      <c r="M35" s="4">
        <f t="shared" si="0"/>
        <v>10</v>
      </c>
      <c r="N35" s="4" t="b">
        <f t="shared" si="1"/>
        <v>0</v>
      </c>
    </row>
    <row r="36" spans="1:14" x14ac:dyDescent="0.2">
      <c r="A36" s="14" t="s">
        <v>442</v>
      </c>
      <c r="B36" s="14" t="s">
        <v>372</v>
      </c>
      <c r="C36" s="14" t="s">
        <v>516</v>
      </c>
      <c r="D36" s="14" t="s">
        <v>374</v>
      </c>
      <c r="E36" s="14" t="s">
        <v>517</v>
      </c>
      <c r="F36" s="14" t="s">
        <v>376</v>
      </c>
      <c r="G36" s="14" t="s">
        <v>518</v>
      </c>
      <c r="H36" s="14" t="s">
        <v>372</v>
      </c>
      <c r="I36" s="14" t="s">
        <v>530</v>
      </c>
      <c r="J36" s="14" t="s">
        <v>379</v>
      </c>
      <c r="K36" s="14">
        <v>1100</v>
      </c>
      <c r="L36" s="14" t="s">
        <v>97</v>
      </c>
      <c r="M36" s="4">
        <f t="shared" si="0"/>
        <v>11</v>
      </c>
      <c r="N36" s="4" t="b">
        <f t="shared" si="1"/>
        <v>0</v>
      </c>
    </row>
    <row r="37" spans="1:14" x14ac:dyDescent="0.2">
      <c r="A37" s="14" t="s">
        <v>444</v>
      </c>
      <c r="B37" s="14" t="s">
        <v>372</v>
      </c>
      <c r="C37" s="14" t="s">
        <v>516</v>
      </c>
      <c r="D37" s="14" t="s">
        <v>374</v>
      </c>
      <c r="E37" s="14" t="s">
        <v>517</v>
      </c>
      <c r="F37" s="14" t="s">
        <v>376</v>
      </c>
      <c r="G37" s="14" t="s">
        <v>518</v>
      </c>
      <c r="H37" s="14" t="s">
        <v>372</v>
      </c>
      <c r="I37" s="14" t="s">
        <v>530</v>
      </c>
      <c r="J37" s="14" t="s">
        <v>379</v>
      </c>
      <c r="K37" s="14">
        <v>1150</v>
      </c>
      <c r="L37" s="14" t="s">
        <v>97</v>
      </c>
      <c r="M37" s="4">
        <f t="shared" si="0"/>
        <v>11</v>
      </c>
      <c r="N37" s="4" t="b">
        <f t="shared" si="1"/>
        <v>0</v>
      </c>
    </row>
    <row r="38" spans="1:14" x14ac:dyDescent="0.2">
      <c r="A38" s="14" t="s">
        <v>446</v>
      </c>
      <c r="B38" s="14" t="s">
        <v>372</v>
      </c>
      <c r="C38" s="14" t="s">
        <v>516</v>
      </c>
      <c r="D38" s="14" t="s">
        <v>374</v>
      </c>
      <c r="E38" s="14" t="s">
        <v>517</v>
      </c>
      <c r="F38" s="14" t="s">
        <v>376</v>
      </c>
      <c r="G38" s="14" t="s">
        <v>518</v>
      </c>
      <c r="H38" s="14" t="s">
        <v>372</v>
      </c>
      <c r="I38" s="14" t="s">
        <v>531</v>
      </c>
      <c r="J38" s="14" t="s">
        <v>379</v>
      </c>
      <c r="K38" s="14">
        <v>1200</v>
      </c>
      <c r="L38" s="14" t="s">
        <v>97</v>
      </c>
      <c r="M38" s="4">
        <f t="shared" si="0"/>
        <v>12</v>
      </c>
      <c r="N38" s="4" t="b">
        <f t="shared" si="1"/>
        <v>0</v>
      </c>
    </row>
    <row r="39" spans="1:14" x14ac:dyDescent="0.2">
      <c r="A39" s="14" t="s">
        <v>448</v>
      </c>
      <c r="B39" s="14" t="s">
        <v>372</v>
      </c>
      <c r="C39" s="14" t="s">
        <v>516</v>
      </c>
      <c r="D39" s="14" t="s">
        <v>374</v>
      </c>
      <c r="E39" s="14" t="s">
        <v>517</v>
      </c>
      <c r="F39" s="14" t="s">
        <v>376</v>
      </c>
      <c r="G39" s="14" t="s">
        <v>518</v>
      </c>
      <c r="H39" s="14" t="s">
        <v>372</v>
      </c>
      <c r="I39" s="14" t="s">
        <v>531</v>
      </c>
      <c r="J39" s="14" t="s">
        <v>379</v>
      </c>
      <c r="K39" s="14">
        <v>1250</v>
      </c>
      <c r="L39" s="14" t="s">
        <v>97</v>
      </c>
      <c r="M39" s="4">
        <f t="shared" si="0"/>
        <v>12</v>
      </c>
      <c r="N39" s="4" t="b">
        <f t="shared" si="1"/>
        <v>0</v>
      </c>
    </row>
    <row r="40" spans="1:14" x14ac:dyDescent="0.2">
      <c r="A40" s="14" t="s">
        <v>450</v>
      </c>
      <c r="B40" s="14" t="s">
        <v>372</v>
      </c>
      <c r="C40" s="14" t="s">
        <v>516</v>
      </c>
      <c r="D40" s="14" t="s">
        <v>374</v>
      </c>
      <c r="E40" s="14" t="s">
        <v>517</v>
      </c>
      <c r="F40" s="14" t="s">
        <v>376</v>
      </c>
      <c r="G40" s="14" t="s">
        <v>518</v>
      </c>
      <c r="H40" s="14" t="s">
        <v>372</v>
      </c>
      <c r="I40" s="14" t="s">
        <v>532</v>
      </c>
      <c r="J40" s="14" t="s">
        <v>379</v>
      </c>
      <c r="K40" s="14">
        <v>1300</v>
      </c>
      <c r="L40" s="14" t="s">
        <v>97</v>
      </c>
      <c r="M40" s="4">
        <f t="shared" si="0"/>
        <v>13</v>
      </c>
      <c r="N40" s="4" t="b">
        <f t="shared" si="1"/>
        <v>0</v>
      </c>
    </row>
    <row r="41" spans="1:14" x14ac:dyDescent="0.2">
      <c r="A41" s="14" t="s">
        <v>452</v>
      </c>
      <c r="B41" s="14" t="s">
        <v>372</v>
      </c>
      <c r="C41" s="14" t="s">
        <v>516</v>
      </c>
      <c r="D41" s="14" t="s">
        <v>374</v>
      </c>
      <c r="E41" s="14" t="s">
        <v>517</v>
      </c>
      <c r="F41" s="14" t="s">
        <v>376</v>
      </c>
      <c r="G41" s="14" t="s">
        <v>518</v>
      </c>
      <c r="H41" s="14" t="s">
        <v>372</v>
      </c>
      <c r="I41" s="14" t="s">
        <v>532</v>
      </c>
      <c r="J41" s="14" t="s">
        <v>379</v>
      </c>
      <c r="K41" s="14">
        <v>1350</v>
      </c>
      <c r="L41" s="14" t="s">
        <v>97</v>
      </c>
      <c r="M41" s="4">
        <f t="shared" si="0"/>
        <v>13</v>
      </c>
      <c r="N41" s="4" t="b">
        <f t="shared" si="1"/>
        <v>0</v>
      </c>
    </row>
    <row r="42" spans="1:14" x14ac:dyDescent="0.2">
      <c r="A42" s="14" t="s">
        <v>454</v>
      </c>
      <c r="B42" s="14" t="s">
        <v>372</v>
      </c>
      <c r="C42" s="14" t="s">
        <v>516</v>
      </c>
      <c r="D42" s="14" t="s">
        <v>374</v>
      </c>
      <c r="E42" s="14" t="s">
        <v>517</v>
      </c>
      <c r="F42" s="14" t="s">
        <v>376</v>
      </c>
      <c r="G42" s="14" t="s">
        <v>518</v>
      </c>
      <c r="H42" s="14" t="s">
        <v>372</v>
      </c>
      <c r="I42" s="14" t="s">
        <v>533</v>
      </c>
      <c r="J42" s="14" t="s">
        <v>379</v>
      </c>
      <c r="K42" s="14">
        <v>1400</v>
      </c>
      <c r="L42" s="14" t="s">
        <v>97</v>
      </c>
      <c r="M42" s="4">
        <f t="shared" si="0"/>
        <v>14</v>
      </c>
      <c r="N42" s="4" t="b">
        <f t="shared" si="1"/>
        <v>0</v>
      </c>
    </row>
    <row r="43" spans="1:14" x14ac:dyDescent="0.2">
      <c r="A43" s="14" t="s">
        <v>456</v>
      </c>
      <c r="B43" s="14" t="s">
        <v>372</v>
      </c>
      <c r="C43" s="14" t="s">
        <v>516</v>
      </c>
      <c r="D43" s="14" t="s">
        <v>374</v>
      </c>
      <c r="E43" s="14" t="s">
        <v>517</v>
      </c>
      <c r="F43" s="14" t="s">
        <v>376</v>
      </c>
      <c r="G43" s="14" t="s">
        <v>518</v>
      </c>
      <c r="H43" s="14" t="s">
        <v>372</v>
      </c>
      <c r="I43" s="14" t="s">
        <v>534</v>
      </c>
      <c r="J43" s="14" t="s">
        <v>379</v>
      </c>
      <c r="K43" s="14">
        <v>1450</v>
      </c>
      <c r="L43" s="14" t="s">
        <v>97</v>
      </c>
      <c r="M43" s="4">
        <f t="shared" si="0"/>
        <v>15</v>
      </c>
      <c r="N43" s="4" t="b">
        <f t="shared" si="1"/>
        <v>0</v>
      </c>
    </row>
    <row r="44" spans="1:14" x14ac:dyDescent="0.2">
      <c r="A44" s="14" t="s">
        <v>458</v>
      </c>
      <c r="B44" s="14" t="s">
        <v>372</v>
      </c>
      <c r="C44" s="14" t="s">
        <v>516</v>
      </c>
      <c r="D44" s="14" t="s">
        <v>374</v>
      </c>
      <c r="E44" s="14" t="s">
        <v>517</v>
      </c>
      <c r="F44" s="14" t="s">
        <v>376</v>
      </c>
      <c r="G44" s="14" t="s">
        <v>518</v>
      </c>
      <c r="H44" s="14" t="s">
        <v>372</v>
      </c>
      <c r="I44" s="14" t="s">
        <v>534</v>
      </c>
      <c r="J44" s="14" t="s">
        <v>379</v>
      </c>
      <c r="K44" s="14">
        <v>1500</v>
      </c>
      <c r="L44" s="14" t="s">
        <v>97</v>
      </c>
      <c r="M44" s="4">
        <f t="shared" si="0"/>
        <v>15</v>
      </c>
      <c r="N44" s="4" t="b">
        <f t="shared" si="1"/>
        <v>0</v>
      </c>
    </row>
    <row r="45" spans="1:14" x14ac:dyDescent="0.2">
      <c r="A45" s="14" t="s">
        <v>460</v>
      </c>
      <c r="B45" s="14" t="s">
        <v>372</v>
      </c>
      <c r="C45" s="14" t="s">
        <v>516</v>
      </c>
      <c r="D45" s="14" t="s">
        <v>374</v>
      </c>
      <c r="E45" s="14" t="s">
        <v>517</v>
      </c>
      <c r="F45" s="14" t="s">
        <v>376</v>
      </c>
      <c r="G45" s="14" t="s">
        <v>518</v>
      </c>
      <c r="H45" s="14" t="s">
        <v>372</v>
      </c>
      <c r="I45" s="14" t="s">
        <v>535</v>
      </c>
      <c r="J45" s="14" t="s">
        <v>379</v>
      </c>
      <c r="K45" s="14">
        <v>1550</v>
      </c>
      <c r="L45" s="14" t="s">
        <v>97</v>
      </c>
      <c r="M45" s="4">
        <f t="shared" si="0"/>
        <v>16</v>
      </c>
      <c r="N45" s="4" t="b">
        <f t="shared" si="1"/>
        <v>0</v>
      </c>
    </row>
    <row r="46" spans="1:14" x14ac:dyDescent="0.2">
      <c r="A46" s="14" t="s">
        <v>462</v>
      </c>
      <c r="B46" s="14" t="s">
        <v>372</v>
      </c>
      <c r="C46" s="14" t="s">
        <v>516</v>
      </c>
      <c r="D46" s="14" t="s">
        <v>374</v>
      </c>
      <c r="E46" s="14" t="s">
        <v>517</v>
      </c>
      <c r="F46" s="14" t="s">
        <v>376</v>
      </c>
      <c r="G46" s="14" t="s">
        <v>518</v>
      </c>
      <c r="H46" s="14" t="s">
        <v>372</v>
      </c>
      <c r="I46" s="14" t="s">
        <v>535</v>
      </c>
      <c r="J46" s="14" t="s">
        <v>379</v>
      </c>
      <c r="K46" s="14">
        <v>1600</v>
      </c>
      <c r="L46" s="14" t="s">
        <v>97</v>
      </c>
      <c r="M46" s="4">
        <f t="shared" si="0"/>
        <v>16</v>
      </c>
      <c r="N46" s="4" t="b">
        <f t="shared" si="1"/>
        <v>0</v>
      </c>
    </row>
    <row r="47" spans="1:14" x14ac:dyDescent="0.2">
      <c r="A47" s="14" t="s">
        <v>464</v>
      </c>
      <c r="B47" s="14" t="s">
        <v>372</v>
      </c>
      <c r="C47" s="14" t="s">
        <v>516</v>
      </c>
      <c r="D47" s="14" t="s">
        <v>374</v>
      </c>
      <c r="E47" s="14" t="s">
        <v>517</v>
      </c>
      <c r="F47" s="14" t="s">
        <v>376</v>
      </c>
      <c r="G47" s="14" t="s">
        <v>518</v>
      </c>
      <c r="H47" s="14" t="s">
        <v>372</v>
      </c>
      <c r="I47" s="14" t="s">
        <v>536</v>
      </c>
      <c r="J47" s="14" t="s">
        <v>379</v>
      </c>
      <c r="K47" s="14">
        <v>1650</v>
      </c>
      <c r="L47" s="14" t="s">
        <v>97</v>
      </c>
      <c r="M47" s="4">
        <f t="shared" si="0"/>
        <v>17</v>
      </c>
      <c r="N47" s="4" t="b">
        <f t="shared" si="1"/>
        <v>0</v>
      </c>
    </row>
    <row r="48" spans="1:14" x14ac:dyDescent="0.2">
      <c r="A48" s="14" t="s">
        <v>466</v>
      </c>
      <c r="B48" s="14" t="s">
        <v>372</v>
      </c>
      <c r="C48" s="14" t="s">
        <v>516</v>
      </c>
      <c r="D48" s="14" t="s">
        <v>374</v>
      </c>
      <c r="E48" s="14" t="s">
        <v>517</v>
      </c>
      <c r="F48" s="14" t="s">
        <v>376</v>
      </c>
      <c r="G48" s="14" t="s">
        <v>518</v>
      </c>
      <c r="H48" s="14" t="s">
        <v>372</v>
      </c>
      <c r="I48" s="14" t="s">
        <v>536</v>
      </c>
      <c r="J48" s="14" t="s">
        <v>379</v>
      </c>
      <c r="K48" s="14">
        <v>1700</v>
      </c>
      <c r="L48" s="14" t="s">
        <v>97</v>
      </c>
      <c r="M48" s="4">
        <f t="shared" si="0"/>
        <v>17</v>
      </c>
      <c r="N48" s="4" t="b">
        <f t="shared" si="1"/>
        <v>0</v>
      </c>
    </row>
    <row r="49" spans="1:14" x14ac:dyDescent="0.2">
      <c r="A49" s="14" t="s">
        <v>468</v>
      </c>
      <c r="B49" s="14" t="s">
        <v>372</v>
      </c>
      <c r="C49" s="14" t="s">
        <v>516</v>
      </c>
      <c r="D49" s="14" t="s">
        <v>374</v>
      </c>
      <c r="E49" s="14" t="s">
        <v>517</v>
      </c>
      <c r="F49" s="14" t="s">
        <v>376</v>
      </c>
      <c r="G49" s="14" t="s">
        <v>518</v>
      </c>
      <c r="H49" s="14" t="s">
        <v>372</v>
      </c>
      <c r="I49" s="14" t="s">
        <v>537</v>
      </c>
      <c r="J49" s="14" t="s">
        <v>379</v>
      </c>
      <c r="K49" s="14">
        <v>1750</v>
      </c>
      <c r="L49" s="14" t="s">
        <v>97</v>
      </c>
      <c r="M49" s="4">
        <f t="shared" si="0"/>
        <v>18</v>
      </c>
      <c r="N49" s="4" t="b">
        <f t="shared" si="1"/>
        <v>0</v>
      </c>
    </row>
    <row r="50" spans="1:14" x14ac:dyDescent="0.2">
      <c r="A50" s="14" t="s">
        <v>470</v>
      </c>
      <c r="B50" s="14" t="s">
        <v>372</v>
      </c>
      <c r="C50" s="14" t="s">
        <v>516</v>
      </c>
      <c r="D50" s="14" t="s">
        <v>374</v>
      </c>
      <c r="E50" s="14" t="s">
        <v>517</v>
      </c>
      <c r="F50" s="14" t="s">
        <v>376</v>
      </c>
      <c r="G50" s="14" t="s">
        <v>518</v>
      </c>
      <c r="H50" s="14" t="s">
        <v>372</v>
      </c>
      <c r="I50" s="14" t="s">
        <v>538</v>
      </c>
      <c r="J50" s="14" t="s">
        <v>379</v>
      </c>
      <c r="K50" s="14">
        <v>1800</v>
      </c>
      <c r="L50" s="14" t="s">
        <v>97</v>
      </c>
      <c r="M50" s="4">
        <f t="shared" si="0"/>
        <v>19</v>
      </c>
      <c r="N50" s="4" t="b">
        <f t="shared" si="1"/>
        <v>0</v>
      </c>
    </row>
    <row r="51" spans="1:14" x14ac:dyDescent="0.2">
      <c r="A51" s="14" t="s">
        <v>472</v>
      </c>
      <c r="B51" s="14" t="s">
        <v>372</v>
      </c>
      <c r="C51" s="14" t="s">
        <v>516</v>
      </c>
      <c r="D51" s="14" t="s">
        <v>374</v>
      </c>
      <c r="E51" s="14" t="s">
        <v>517</v>
      </c>
      <c r="F51" s="14" t="s">
        <v>376</v>
      </c>
      <c r="G51" s="14" t="s">
        <v>518</v>
      </c>
      <c r="H51" s="14" t="s">
        <v>372</v>
      </c>
      <c r="I51" s="14" t="s">
        <v>538</v>
      </c>
      <c r="J51" s="14" t="s">
        <v>379</v>
      </c>
      <c r="K51" s="14">
        <v>1850</v>
      </c>
      <c r="L51" s="14" t="s">
        <v>97</v>
      </c>
      <c r="M51" s="4">
        <f t="shared" si="0"/>
        <v>19</v>
      </c>
      <c r="N51" s="4" t="b">
        <f t="shared" si="1"/>
        <v>0</v>
      </c>
    </row>
    <row r="52" spans="1:14" x14ac:dyDescent="0.2">
      <c r="A52" s="14" t="s">
        <v>474</v>
      </c>
      <c r="B52" s="14" t="s">
        <v>372</v>
      </c>
      <c r="C52" s="14" t="s">
        <v>516</v>
      </c>
      <c r="D52" s="14" t="s">
        <v>374</v>
      </c>
      <c r="E52" s="14" t="s">
        <v>517</v>
      </c>
      <c r="F52" s="14" t="s">
        <v>376</v>
      </c>
      <c r="G52" s="14" t="s">
        <v>518</v>
      </c>
      <c r="H52" s="14" t="s">
        <v>372</v>
      </c>
      <c r="I52" s="14" t="s">
        <v>539</v>
      </c>
      <c r="J52" s="14" t="s">
        <v>379</v>
      </c>
      <c r="K52" s="14">
        <v>1900</v>
      </c>
      <c r="L52" s="14" t="s">
        <v>97</v>
      </c>
      <c r="M52" s="4">
        <f t="shared" si="0"/>
        <v>20</v>
      </c>
      <c r="N52" s="4" t="b">
        <f t="shared" si="1"/>
        <v>0</v>
      </c>
    </row>
    <row r="53" spans="1:14" x14ac:dyDescent="0.2">
      <c r="A53" s="14" t="s">
        <v>476</v>
      </c>
      <c r="B53" s="14" t="s">
        <v>372</v>
      </c>
      <c r="C53" s="14" t="s">
        <v>516</v>
      </c>
      <c r="D53" s="14" t="s">
        <v>374</v>
      </c>
      <c r="E53" s="14" t="s">
        <v>517</v>
      </c>
      <c r="F53" s="14" t="s">
        <v>376</v>
      </c>
      <c r="G53" s="14" t="s">
        <v>518</v>
      </c>
      <c r="H53" s="14" t="s">
        <v>372</v>
      </c>
      <c r="I53" s="14" t="s">
        <v>539</v>
      </c>
      <c r="J53" s="14" t="s">
        <v>379</v>
      </c>
      <c r="K53" s="14">
        <v>1950</v>
      </c>
      <c r="L53" s="14" t="s">
        <v>97</v>
      </c>
      <c r="M53" s="4">
        <f t="shared" si="0"/>
        <v>20</v>
      </c>
      <c r="N53" s="4" t="b">
        <f t="shared" si="1"/>
        <v>0</v>
      </c>
    </row>
    <row r="54" spans="1:14" x14ac:dyDescent="0.2">
      <c r="A54" s="14" t="s">
        <v>478</v>
      </c>
      <c r="B54" s="14" t="s">
        <v>372</v>
      </c>
      <c r="C54" s="14" t="s">
        <v>516</v>
      </c>
      <c r="D54" s="14" t="s">
        <v>374</v>
      </c>
      <c r="E54" s="14" t="s">
        <v>517</v>
      </c>
      <c r="F54" s="14" t="s">
        <v>376</v>
      </c>
      <c r="G54" s="14" t="s">
        <v>518</v>
      </c>
      <c r="H54" s="14" t="s">
        <v>372</v>
      </c>
      <c r="I54" s="14" t="s">
        <v>540</v>
      </c>
      <c r="J54" s="14" t="s">
        <v>379</v>
      </c>
      <c r="K54" s="14">
        <v>2000</v>
      </c>
      <c r="L54" s="14" t="s">
        <v>97</v>
      </c>
      <c r="M54" s="4">
        <f t="shared" si="0"/>
        <v>21</v>
      </c>
      <c r="N54" s="4" t="b">
        <f t="shared" si="1"/>
        <v>0</v>
      </c>
    </row>
    <row r="55" spans="1:14" x14ac:dyDescent="0.2">
      <c r="A55" s="14" t="s">
        <v>480</v>
      </c>
      <c r="B55" s="14" t="s">
        <v>372</v>
      </c>
      <c r="C55" s="14" t="s">
        <v>516</v>
      </c>
      <c r="D55" s="14" t="s">
        <v>374</v>
      </c>
      <c r="E55" s="14" t="s">
        <v>517</v>
      </c>
      <c r="F55" s="14" t="s">
        <v>376</v>
      </c>
      <c r="G55" s="14" t="s">
        <v>518</v>
      </c>
      <c r="H55" s="14" t="s">
        <v>372</v>
      </c>
      <c r="I55" s="14" t="s">
        <v>540</v>
      </c>
      <c r="J55" s="14" t="s">
        <v>379</v>
      </c>
      <c r="K55" s="14">
        <v>2050</v>
      </c>
      <c r="L55" s="14" t="s">
        <v>97</v>
      </c>
      <c r="M55" s="4">
        <f t="shared" si="0"/>
        <v>21</v>
      </c>
      <c r="N55" s="4" t="b">
        <f t="shared" si="1"/>
        <v>0</v>
      </c>
    </row>
    <row r="56" spans="1:14" x14ac:dyDescent="0.2">
      <c r="A56" s="14" t="s">
        <v>482</v>
      </c>
      <c r="B56" s="14" t="s">
        <v>372</v>
      </c>
      <c r="C56" s="14" t="s">
        <v>516</v>
      </c>
      <c r="D56" s="14" t="s">
        <v>374</v>
      </c>
      <c r="E56" s="14" t="s">
        <v>517</v>
      </c>
      <c r="F56" s="14" t="s">
        <v>376</v>
      </c>
      <c r="G56" s="14" t="s">
        <v>518</v>
      </c>
      <c r="H56" s="14" t="s">
        <v>372</v>
      </c>
      <c r="I56" s="14" t="s">
        <v>541</v>
      </c>
      <c r="J56" s="14" t="s">
        <v>379</v>
      </c>
      <c r="K56" s="14">
        <v>2100</v>
      </c>
      <c r="L56" s="14" t="s">
        <v>97</v>
      </c>
      <c r="M56" s="4">
        <f t="shared" si="0"/>
        <v>22</v>
      </c>
      <c r="N56" s="4" t="b">
        <f t="shared" si="1"/>
        <v>0</v>
      </c>
    </row>
    <row r="57" spans="1:14" x14ac:dyDescent="0.2">
      <c r="A57" s="14" t="s">
        <v>484</v>
      </c>
      <c r="B57" s="14" t="s">
        <v>372</v>
      </c>
      <c r="C57" s="14" t="s">
        <v>516</v>
      </c>
      <c r="D57" s="14" t="s">
        <v>374</v>
      </c>
      <c r="E57" s="14" t="s">
        <v>517</v>
      </c>
      <c r="F57" s="14" t="s">
        <v>376</v>
      </c>
      <c r="G57" s="14" t="s">
        <v>518</v>
      </c>
      <c r="H57" s="14" t="s">
        <v>372</v>
      </c>
      <c r="I57" s="14" t="s">
        <v>541</v>
      </c>
      <c r="J57" s="14" t="s">
        <v>379</v>
      </c>
      <c r="K57" s="14">
        <v>2150</v>
      </c>
      <c r="L57" s="14" t="s">
        <v>97</v>
      </c>
      <c r="M57" s="4">
        <f t="shared" si="0"/>
        <v>22</v>
      </c>
      <c r="N57" s="4" t="b">
        <f t="shared" si="1"/>
        <v>0</v>
      </c>
    </row>
    <row r="58" spans="1:14" x14ac:dyDescent="0.2">
      <c r="A58" s="14" t="s">
        <v>486</v>
      </c>
      <c r="B58" s="14" t="s">
        <v>372</v>
      </c>
      <c r="C58" s="14" t="s">
        <v>516</v>
      </c>
      <c r="D58" s="14" t="s">
        <v>374</v>
      </c>
      <c r="E58" s="14" t="s">
        <v>517</v>
      </c>
      <c r="F58" s="14" t="s">
        <v>376</v>
      </c>
      <c r="G58" s="14" t="s">
        <v>518</v>
      </c>
      <c r="H58" s="14" t="s">
        <v>372</v>
      </c>
      <c r="I58" s="14" t="s">
        <v>542</v>
      </c>
      <c r="J58" s="14" t="s">
        <v>379</v>
      </c>
      <c r="K58" s="14">
        <v>2200</v>
      </c>
      <c r="L58" s="14" t="s">
        <v>97</v>
      </c>
      <c r="M58" s="4">
        <f t="shared" si="0"/>
        <v>23</v>
      </c>
      <c r="N58" s="4" t="b">
        <f t="shared" si="1"/>
        <v>0</v>
      </c>
    </row>
    <row r="59" spans="1:14" x14ac:dyDescent="0.2">
      <c r="A59" s="14" t="s">
        <v>488</v>
      </c>
      <c r="B59" s="14" t="s">
        <v>372</v>
      </c>
      <c r="C59" s="14" t="s">
        <v>516</v>
      </c>
      <c r="D59" s="14" t="s">
        <v>374</v>
      </c>
      <c r="E59" s="14" t="s">
        <v>517</v>
      </c>
      <c r="F59" s="14" t="s">
        <v>376</v>
      </c>
      <c r="G59" s="14" t="s">
        <v>518</v>
      </c>
      <c r="H59" s="14" t="s">
        <v>372</v>
      </c>
      <c r="I59" s="14" t="s">
        <v>542</v>
      </c>
      <c r="J59" s="14" t="s">
        <v>379</v>
      </c>
      <c r="K59" s="14">
        <v>2250</v>
      </c>
      <c r="L59" s="14" t="s">
        <v>97</v>
      </c>
      <c r="M59" s="4">
        <f t="shared" si="0"/>
        <v>23</v>
      </c>
      <c r="N59" s="4" t="b">
        <f t="shared" si="1"/>
        <v>0</v>
      </c>
    </row>
    <row r="60" spans="1:14" x14ac:dyDescent="0.2">
      <c r="A60" s="14" t="s">
        <v>490</v>
      </c>
      <c r="B60" s="14" t="s">
        <v>372</v>
      </c>
      <c r="C60" s="14" t="s">
        <v>516</v>
      </c>
      <c r="D60" s="14" t="s">
        <v>374</v>
      </c>
      <c r="E60" s="14" t="s">
        <v>517</v>
      </c>
      <c r="F60" s="14" t="s">
        <v>376</v>
      </c>
      <c r="G60" s="14" t="s">
        <v>518</v>
      </c>
      <c r="H60" s="14" t="s">
        <v>372</v>
      </c>
      <c r="I60" s="14" t="s">
        <v>542</v>
      </c>
      <c r="J60" s="14" t="s">
        <v>379</v>
      </c>
      <c r="K60" s="14">
        <v>2300</v>
      </c>
      <c r="L60" s="14" t="s">
        <v>97</v>
      </c>
      <c r="M60" s="4">
        <f t="shared" si="0"/>
        <v>23</v>
      </c>
      <c r="N60" s="4" t="b">
        <f t="shared" si="1"/>
        <v>0</v>
      </c>
    </row>
    <row r="61" spans="1:14" x14ac:dyDescent="0.2">
      <c r="A61" s="14" t="s">
        <v>492</v>
      </c>
      <c r="B61" s="14" t="s">
        <v>372</v>
      </c>
      <c r="C61" s="14" t="s">
        <v>516</v>
      </c>
      <c r="D61" s="14" t="s">
        <v>374</v>
      </c>
      <c r="E61" s="14" t="s">
        <v>517</v>
      </c>
      <c r="F61" s="14" t="s">
        <v>376</v>
      </c>
      <c r="G61" s="14" t="s">
        <v>518</v>
      </c>
      <c r="H61" s="14" t="s">
        <v>372</v>
      </c>
      <c r="I61" s="14" t="s">
        <v>543</v>
      </c>
      <c r="J61" s="14" t="s">
        <v>379</v>
      </c>
      <c r="K61" s="14">
        <v>2350</v>
      </c>
      <c r="L61" s="14" t="s">
        <v>97</v>
      </c>
      <c r="M61" s="4">
        <f t="shared" si="0"/>
        <v>24</v>
      </c>
      <c r="N61" s="4" t="b">
        <f t="shared" si="1"/>
        <v>0</v>
      </c>
    </row>
    <row r="62" spans="1:14" x14ac:dyDescent="0.2">
      <c r="A62" s="14" t="s">
        <v>494</v>
      </c>
      <c r="B62" s="14" t="s">
        <v>372</v>
      </c>
      <c r="C62" s="14" t="s">
        <v>516</v>
      </c>
      <c r="D62" s="14" t="s">
        <v>374</v>
      </c>
      <c r="E62" s="14" t="s">
        <v>517</v>
      </c>
      <c r="F62" s="14" t="s">
        <v>376</v>
      </c>
      <c r="G62" s="14" t="s">
        <v>518</v>
      </c>
      <c r="H62" s="14" t="s">
        <v>372</v>
      </c>
      <c r="I62" s="14" t="s">
        <v>544</v>
      </c>
      <c r="J62" s="14" t="s">
        <v>379</v>
      </c>
      <c r="K62" s="14">
        <v>2400</v>
      </c>
      <c r="L62" s="14" t="s">
        <v>97</v>
      </c>
      <c r="M62" s="4">
        <f t="shared" si="0"/>
        <v>25</v>
      </c>
      <c r="N62" s="4" t="b">
        <f t="shared" si="1"/>
        <v>0</v>
      </c>
    </row>
    <row r="63" spans="1:14" x14ac:dyDescent="0.2">
      <c r="A63" s="14" t="s">
        <v>495</v>
      </c>
      <c r="B63" s="14" t="s">
        <v>372</v>
      </c>
      <c r="C63" s="14" t="s">
        <v>516</v>
      </c>
      <c r="D63" s="14" t="s">
        <v>374</v>
      </c>
      <c r="E63" s="14" t="s">
        <v>517</v>
      </c>
      <c r="F63" s="14" t="s">
        <v>376</v>
      </c>
      <c r="G63" s="14" t="s">
        <v>518</v>
      </c>
      <c r="H63" s="14" t="s">
        <v>372</v>
      </c>
      <c r="I63" s="14" t="s">
        <v>544</v>
      </c>
      <c r="J63" s="14" t="s">
        <v>379</v>
      </c>
      <c r="K63" s="14">
        <v>2450</v>
      </c>
      <c r="L63" s="14" t="s">
        <v>97</v>
      </c>
      <c r="M63" s="4">
        <f t="shared" si="0"/>
        <v>25</v>
      </c>
      <c r="N63" s="4" t="b">
        <f t="shared" si="1"/>
        <v>0</v>
      </c>
    </row>
    <row r="64" spans="1:14" x14ac:dyDescent="0.2">
      <c r="A64" s="14" t="s">
        <v>496</v>
      </c>
      <c r="B64" s="14" t="s">
        <v>372</v>
      </c>
      <c r="C64" s="14" t="s">
        <v>516</v>
      </c>
      <c r="D64" s="14" t="s">
        <v>374</v>
      </c>
      <c r="E64" s="14" t="s">
        <v>517</v>
      </c>
      <c r="F64" s="14" t="s">
        <v>376</v>
      </c>
      <c r="G64" s="14" t="s">
        <v>518</v>
      </c>
      <c r="H64" s="14" t="s">
        <v>372</v>
      </c>
      <c r="I64" s="14" t="s">
        <v>544</v>
      </c>
      <c r="J64" s="14" t="s">
        <v>379</v>
      </c>
      <c r="K64" s="14">
        <v>2500</v>
      </c>
      <c r="L64" s="14" t="s">
        <v>97</v>
      </c>
      <c r="M64" s="4">
        <f t="shared" si="0"/>
        <v>25</v>
      </c>
      <c r="N64" s="4" t="b">
        <f t="shared" si="1"/>
        <v>0</v>
      </c>
    </row>
  </sheetData>
  <phoneticPr fontId="6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workbookViewId="0">
      <selection activeCell="P2" sqref="P2"/>
    </sheetView>
  </sheetViews>
  <sheetFormatPr defaultRowHeight="12.75" x14ac:dyDescent="0.2"/>
  <cols>
    <col min="1" max="1" width="14.28515625" style="14" bestFit="1" customWidth="1"/>
    <col min="2" max="2" width="3.140625" style="14" bestFit="1" customWidth="1"/>
    <col min="3" max="3" width="21" style="14" bestFit="1" customWidth="1"/>
    <col min="4" max="4" width="2" style="14" bestFit="1" customWidth="1"/>
    <col min="5" max="5" width="28.42578125" style="14" bestFit="1" customWidth="1"/>
    <col min="6" max="6" width="2" style="14" bestFit="1" customWidth="1"/>
    <col min="7" max="7" width="25" style="14" bestFit="1" customWidth="1"/>
    <col min="8" max="8" width="1.5703125" style="14" bestFit="1" customWidth="1"/>
    <col min="9" max="9" width="7.5703125" style="14" bestFit="1" customWidth="1"/>
    <col min="10" max="10" width="2.7109375" style="14" bestFit="1" customWidth="1"/>
    <col min="11" max="11" width="5" style="14" bestFit="1" customWidth="1"/>
    <col min="12" max="12" width="5.85546875" style="14" bestFit="1" customWidth="1"/>
    <col min="13" max="13" width="21" style="4" bestFit="1" customWidth="1"/>
    <col min="14" max="16384" width="9.140625" style="14"/>
  </cols>
  <sheetData>
    <row r="1" spans="1:19" x14ac:dyDescent="0.2">
      <c r="M1" s="4" t="s">
        <v>545</v>
      </c>
      <c r="O1" s="4" t="s">
        <v>370</v>
      </c>
      <c r="P1" s="161">
        <f>'SDM439 DPHY timing'!B3</f>
        <v>390</v>
      </c>
      <c r="Q1" s="4"/>
      <c r="R1" s="4" t="s">
        <v>497</v>
      </c>
      <c r="S1" s="4">
        <f>LOOKUP("SELECT",N2:N64,M2:M64)</f>
        <v>4</v>
      </c>
    </row>
    <row r="2" spans="1:19" x14ac:dyDescent="0.2">
      <c r="A2" s="14" t="s">
        <v>371</v>
      </c>
      <c r="B2" s="14" t="s">
        <v>372</v>
      </c>
      <c r="C2" s="14" t="s">
        <v>545</v>
      </c>
      <c r="D2" s="14" t="s">
        <v>374</v>
      </c>
      <c r="E2" s="14" t="s">
        <v>546</v>
      </c>
      <c r="F2" s="14" t="s">
        <v>376</v>
      </c>
      <c r="G2" s="14" t="s">
        <v>547</v>
      </c>
      <c r="H2" s="14" t="s">
        <v>372</v>
      </c>
      <c r="I2" s="14" t="s">
        <v>520</v>
      </c>
      <c r="J2" s="14" t="s">
        <v>379</v>
      </c>
      <c r="K2" s="14">
        <v>80</v>
      </c>
      <c r="L2" s="14" t="s">
        <v>97</v>
      </c>
      <c r="M2" s="4">
        <f>_xlfn.NUMBERVALUE(MID(I2,5,2))</f>
        <v>1</v>
      </c>
      <c r="N2" s="4" t="b">
        <f>IF($P$1&gt;=K2,IF($P$1&lt;K3,"SELECT"))</f>
        <v>0</v>
      </c>
    </row>
    <row r="3" spans="1:19" x14ac:dyDescent="0.2">
      <c r="A3" s="14" t="s">
        <v>380</v>
      </c>
      <c r="B3" s="14" t="s">
        <v>372</v>
      </c>
      <c r="C3" s="14" t="s">
        <v>545</v>
      </c>
      <c r="D3" s="14" t="s">
        <v>374</v>
      </c>
      <c r="E3" s="14" t="s">
        <v>546</v>
      </c>
      <c r="F3" s="14" t="s">
        <v>376</v>
      </c>
      <c r="G3" s="14" t="s">
        <v>547</v>
      </c>
      <c r="H3" s="14" t="s">
        <v>372</v>
      </c>
      <c r="I3" s="14" t="s">
        <v>520</v>
      </c>
      <c r="J3" s="14" t="s">
        <v>379</v>
      </c>
      <c r="K3" s="14">
        <v>90</v>
      </c>
      <c r="L3" s="14" t="s">
        <v>97</v>
      </c>
      <c r="M3" s="4">
        <f t="shared" ref="M3:M64" si="0">_xlfn.NUMBERVALUE(MID(I3,5,2))</f>
        <v>1</v>
      </c>
      <c r="N3" s="4" t="b">
        <f t="shared" ref="N3:N64" si="1">IF($P$1&gt;=K3,IF($P$1&lt;K4,"SELECT"))</f>
        <v>0</v>
      </c>
    </row>
    <row r="4" spans="1:19" x14ac:dyDescent="0.2">
      <c r="A4" s="14" t="s">
        <v>382</v>
      </c>
      <c r="B4" s="14" t="s">
        <v>372</v>
      </c>
      <c r="C4" s="14" t="s">
        <v>545</v>
      </c>
      <c r="D4" s="14" t="s">
        <v>374</v>
      </c>
      <c r="E4" s="14" t="s">
        <v>546</v>
      </c>
      <c r="F4" s="14" t="s">
        <v>376</v>
      </c>
      <c r="G4" s="14" t="s">
        <v>547</v>
      </c>
      <c r="H4" s="14" t="s">
        <v>372</v>
      </c>
      <c r="I4" s="14" t="s">
        <v>520</v>
      </c>
      <c r="J4" s="14" t="s">
        <v>379</v>
      </c>
      <c r="K4" s="14">
        <v>100</v>
      </c>
      <c r="L4" s="14" t="s">
        <v>97</v>
      </c>
      <c r="M4" s="4">
        <f t="shared" si="0"/>
        <v>1</v>
      </c>
      <c r="N4" s="4" t="b">
        <f t="shared" si="1"/>
        <v>0</v>
      </c>
    </row>
    <row r="5" spans="1:19" x14ac:dyDescent="0.2">
      <c r="A5" s="14" t="s">
        <v>383</v>
      </c>
      <c r="B5" s="14" t="s">
        <v>372</v>
      </c>
      <c r="C5" s="14" t="s">
        <v>545</v>
      </c>
      <c r="D5" s="14" t="s">
        <v>374</v>
      </c>
      <c r="E5" s="14" t="s">
        <v>546</v>
      </c>
      <c r="F5" s="14" t="s">
        <v>376</v>
      </c>
      <c r="G5" s="14" t="s">
        <v>547</v>
      </c>
      <c r="H5" s="14" t="s">
        <v>372</v>
      </c>
      <c r="I5" s="14" t="s">
        <v>520</v>
      </c>
      <c r="J5" s="14" t="s">
        <v>379</v>
      </c>
      <c r="K5" s="14">
        <v>110</v>
      </c>
      <c r="L5" s="14" t="s">
        <v>97</v>
      </c>
      <c r="M5" s="4">
        <f t="shared" si="0"/>
        <v>1</v>
      </c>
      <c r="N5" s="4" t="b">
        <f t="shared" si="1"/>
        <v>0</v>
      </c>
    </row>
    <row r="6" spans="1:19" x14ac:dyDescent="0.2">
      <c r="A6" s="14" t="s">
        <v>385</v>
      </c>
      <c r="B6" s="14" t="s">
        <v>372</v>
      </c>
      <c r="C6" s="14" t="s">
        <v>545</v>
      </c>
      <c r="D6" s="14" t="s">
        <v>374</v>
      </c>
      <c r="E6" s="14" t="s">
        <v>546</v>
      </c>
      <c r="F6" s="14" t="s">
        <v>376</v>
      </c>
      <c r="G6" s="14" t="s">
        <v>547</v>
      </c>
      <c r="H6" s="14" t="s">
        <v>372</v>
      </c>
      <c r="I6" s="14" t="s">
        <v>520</v>
      </c>
      <c r="J6" s="14" t="s">
        <v>379</v>
      </c>
      <c r="K6" s="14">
        <v>120</v>
      </c>
      <c r="L6" s="14" t="s">
        <v>97</v>
      </c>
      <c r="M6" s="4">
        <f t="shared" si="0"/>
        <v>1</v>
      </c>
      <c r="N6" s="4" t="b">
        <f t="shared" si="1"/>
        <v>0</v>
      </c>
    </row>
    <row r="7" spans="1:19" x14ac:dyDescent="0.2">
      <c r="A7" s="14" t="s">
        <v>387</v>
      </c>
      <c r="B7" s="14" t="s">
        <v>372</v>
      </c>
      <c r="C7" s="14" t="s">
        <v>545</v>
      </c>
      <c r="D7" s="14" t="s">
        <v>374</v>
      </c>
      <c r="E7" s="14" t="s">
        <v>546</v>
      </c>
      <c r="F7" s="14" t="s">
        <v>376</v>
      </c>
      <c r="G7" s="14" t="s">
        <v>547</v>
      </c>
      <c r="H7" s="14" t="s">
        <v>372</v>
      </c>
      <c r="I7" s="14" t="s">
        <v>520</v>
      </c>
      <c r="J7" s="14" t="s">
        <v>379</v>
      </c>
      <c r="K7" s="14">
        <v>130</v>
      </c>
      <c r="L7" s="14" t="s">
        <v>97</v>
      </c>
      <c r="M7" s="4">
        <f t="shared" si="0"/>
        <v>1</v>
      </c>
      <c r="N7" s="4" t="b">
        <f t="shared" si="1"/>
        <v>0</v>
      </c>
    </row>
    <row r="8" spans="1:19" x14ac:dyDescent="0.2">
      <c r="A8" s="14" t="s">
        <v>388</v>
      </c>
      <c r="B8" s="14" t="s">
        <v>372</v>
      </c>
      <c r="C8" s="14" t="s">
        <v>545</v>
      </c>
      <c r="D8" s="14" t="s">
        <v>374</v>
      </c>
      <c r="E8" s="14" t="s">
        <v>546</v>
      </c>
      <c r="F8" s="14" t="s">
        <v>376</v>
      </c>
      <c r="G8" s="14" t="s">
        <v>547</v>
      </c>
      <c r="H8" s="14" t="s">
        <v>372</v>
      </c>
      <c r="I8" s="14" t="s">
        <v>520</v>
      </c>
      <c r="J8" s="14" t="s">
        <v>379</v>
      </c>
      <c r="K8" s="14">
        <v>140</v>
      </c>
      <c r="L8" s="14" t="s">
        <v>97</v>
      </c>
      <c r="M8" s="4">
        <f t="shared" si="0"/>
        <v>1</v>
      </c>
      <c r="N8" s="4" t="b">
        <f t="shared" si="1"/>
        <v>0</v>
      </c>
    </row>
    <row r="9" spans="1:19" x14ac:dyDescent="0.2">
      <c r="A9" s="14" t="s">
        <v>390</v>
      </c>
      <c r="B9" s="14" t="s">
        <v>372</v>
      </c>
      <c r="C9" s="14" t="s">
        <v>545</v>
      </c>
      <c r="D9" s="14" t="s">
        <v>374</v>
      </c>
      <c r="E9" s="14" t="s">
        <v>546</v>
      </c>
      <c r="F9" s="14" t="s">
        <v>376</v>
      </c>
      <c r="G9" s="14" t="s">
        <v>547</v>
      </c>
      <c r="H9" s="14" t="s">
        <v>372</v>
      </c>
      <c r="I9" s="14" t="s">
        <v>520</v>
      </c>
      <c r="J9" s="14" t="s">
        <v>379</v>
      </c>
      <c r="K9" s="14">
        <v>150</v>
      </c>
      <c r="L9" s="14" t="s">
        <v>97</v>
      </c>
      <c r="M9" s="4">
        <f t="shared" si="0"/>
        <v>1</v>
      </c>
      <c r="N9" s="4" t="b">
        <f t="shared" si="1"/>
        <v>0</v>
      </c>
    </row>
    <row r="10" spans="1:19" x14ac:dyDescent="0.2">
      <c r="A10" s="14" t="s">
        <v>392</v>
      </c>
      <c r="B10" s="14" t="s">
        <v>372</v>
      </c>
      <c r="C10" s="14" t="s">
        <v>545</v>
      </c>
      <c r="D10" s="14" t="s">
        <v>374</v>
      </c>
      <c r="E10" s="14" t="s">
        <v>546</v>
      </c>
      <c r="F10" s="14" t="s">
        <v>376</v>
      </c>
      <c r="G10" s="14" t="s">
        <v>547</v>
      </c>
      <c r="H10" s="14" t="s">
        <v>372</v>
      </c>
      <c r="I10" s="14" t="s">
        <v>521</v>
      </c>
      <c r="J10" s="14" t="s">
        <v>379</v>
      </c>
      <c r="K10" s="14">
        <v>160</v>
      </c>
      <c r="L10" s="14" t="s">
        <v>97</v>
      </c>
      <c r="M10" s="4">
        <f t="shared" si="0"/>
        <v>2</v>
      </c>
      <c r="N10" s="4" t="b">
        <f t="shared" si="1"/>
        <v>0</v>
      </c>
    </row>
    <row r="11" spans="1:19" x14ac:dyDescent="0.2">
      <c r="A11" s="14" t="s">
        <v>393</v>
      </c>
      <c r="B11" s="14" t="s">
        <v>372</v>
      </c>
      <c r="C11" s="14" t="s">
        <v>545</v>
      </c>
      <c r="D11" s="14" t="s">
        <v>374</v>
      </c>
      <c r="E11" s="14" t="s">
        <v>546</v>
      </c>
      <c r="F11" s="14" t="s">
        <v>376</v>
      </c>
      <c r="G11" s="14" t="s">
        <v>547</v>
      </c>
      <c r="H11" s="14" t="s">
        <v>372</v>
      </c>
      <c r="I11" s="14" t="s">
        <v>521</v>
      </c>
      <c r="J11" s="14" t="s">
        <v>379</v>
      </c>
      <c r="K11" s="14">
        <v>170</v>
      </c>
      <c r="L11" s="14" t="s">
        <v>97</v>
      </c>
      <c r="M11" s="4">
        <f t="shared" si="0"/>
        <v>2</v>
      </c>
      <c r="N11" s="4" t="b">
        <f t="shared" si="1"/>
        <v>0</v>
      </c>
    </row>
    <row r="12" spans="1:19" x14ac:dyDescent="0.2">
      <c r="A12" s="14" t="s">
        <v>395</v>
      </c>
      <c r="B12" s="14" t="s">
        <v>372</v>
      </c>
      <c r="C12" s="14" t="s">
        <v>545</v>
      </c>
      <c r="D12" s="14" t="s">
        <v>374</v>
      </c>
      <c r="E12" s="14" t="s">
        <v>546</v>
      </c>
      <c r="F12" s="14" t="s">
        <v>376</v>
      </c>
      <c r="G12" s="14" t="s">
        <v>547</v>
      </c>
      <c r="H12" s="14" t="s">
        <v>372</v>
      </c>
      <c r="I12" s="14" t="s">
        <v>521</v>
      </c>
      <c r="J12" s="14" t="s">
        <v>379</v>
      </c>
      <c r="K12" s="14">
        <v>180</v>
      </c>
      <c r="L12" s="14" t="s">
        <v>97</v>
      </c>
      <c r="M12" s="4">
        <f t="shared" si="0"/>
        <v>2</v>
      </c>
      <c r="N12" s="4" t="b">
        <f t="shared" si="1"/>
        <v>0</v>
      </c>
    </row>
    <row r="13" spans="1:19" x14ac:dyDescent="0.2">
      <c r="A13" s="14" t="s">
        <v>396</v>
      </c>
      <c r="B13" s="14" t="s">
        <v>372</v>
      </c>
      <c r="C13" s="14" t="s">
        <v>545</v>
      </c>
      <c r="D13" s="14" t="s">
        <v>374</v>
      </c>
      <c r="E13" s="14" t="s">
        <v>546</v>
      </c>
      <c r="F13" s="14" t="s">
        <v>376</v>
      </c>
      <c r="G13" s="14" t="s">
        <v>547</v>
      </c>
      <c r="H13" s="14" t="s">
        <v>372</v>
      </c>
      <c r="I13" s="14" t="s">
        <v>521</v>
      </c>
      <c r="J13" s="14" t="s">
        <v>379</v>
      </c>
      <c r="K13" s="14">
        <v>190</v>
      </c>
      <c r="L13" s="14" t="s">
        <v>97</v>
      </c>
      <c r="M13" s="4">
        <f t="shared" si="0"/>
        <v>2</v>
      </c>
      <c r="N13" s="4" t="b">
        <f t="shared" si="1"/>
        <v>0</v>
      </c>
    </row>
    <row r="14" spans="1:19" x14ac:dyDescent="0.2">
      <c r="A14" s="14" t="s">
        <v>398</v>
      </c>
      <c r="B14" s="14" t="s">
        <v>372</v>
      </c>
      <c r="C14" s="14" t="s">
        <v>545</v>
      </c>
      <c r="D14" s="14" t="s">
        <v>374</v>
      </c>
      <c r="E14" s="14" t="s">
        <v>546</v>
      </c>
      <c r="F14" s="14" t="s">
        <v>376</v>
      </c>
      <c r="G14" s="14" t="s">
        <v>547</v>
      </c>
      <c r="H14" s="14" t="s">
        <v>372</v>
      </c>
      <c r="I14" s="14" t="s">
        <v>521</v>
      </c>
      <c r="J14" s="14" t="s">
        <v>379</v>
      </c>
      <c r="K14" s="14">
        <v>205</v>
      </c>
      <c r="L14" s="14" t="s">
        <v>97</v>
      </c>
      <c r="M14" s="4">
        <f t="shared" si="0"/>
        <v>2</v>
      </c>
      <c r="N14" s="4" t="b">
        <f t="shared" si="1"/>
        <v>0</v>
      </c>
    </row>
    <row r="15" spans="1:19" x14ac:dyDescent="0.2">
      <c r="A15" s="14" t="s">
        <v>400</v>
      </c>
      <c r="B15" s="14" t="s">
        <v>372</v>
      </c>
      <c r="C15" s="14" t="s">
        <v>545</v>
      </c>
      <c r="D15" s="14" t="s">
        <v>374</v>
      </c>
      <c r="E15" s="14" t="s">
        <v>546</v>
      </c>
      <c r="F15" s="14" t="s">
        <v>376</v>
      </c>
      <c r="G15" s="14" t="s">
        <v>547</v>
      </c>
      <c r="H15" s="14" t="s">
        <v>372</v>
      </c>
      <c r="I15" s="14" t="s">
        <v>521</v>
      </c>
      <c r="J15" s="14" t="s">
        <v>379</v>
      </c>
      <c r="K15" s="14">
        <v>220</v>
      </c>
      <c r="L15" s="14" t="s">
        <v>97</v>
      </c>
      <c r="M15" s="4">
        <f t="shared" si="0"/>
        <v>2</v>
      </c>
      <c r="N15" s="4" t="b">
        <f t="shared" si="1"/>
        <v>0</v>
      </c>
    </row>
    <row r="16" spans="1:19" x14ac:dyDescent="0.2">
      <c r="A16" s="14" t="s">
        <v>402</v>
      </c>
      <c r="B16" s="14" t="s">
        <v>372</v>
      </c>
      <c r="C16" s="14" t="s">
        <v>545</v>
      </c>
      <c r="D16" s="14" t="s">
        <v>374</v>
      </c>
      <c r="E16" s="14" t="s">
        <v>546</v>
      </c>
      <c r="F16" s="14" t="s">
        <v>376</v>
      </c>
      <c r="G16" s="14" t="s">
        <v>547</v>
      </c>
      <c r="H16" s="14" t="s">
        <v>372</v>
      </c>
      <c r="I16" s="14" t="s">
        <v>521</v>
      </c>
      <c r="J16" s="14" t="s">
        <v>379</v>
      </c>
      <c r="K16" s="14">
        <v>235</v>
      </c>
      <c r="L16" s="14" t="s">
        <v>97</v>
      </c>
      <c r="M16" s="4">
        <f t="shared" si="0"/>
        <v>2</v>
      </c>
      <c r="N16" s="4" t="b">
        <f t="shared" si="1"/>
        <v>0</v>
      </c>
    </row>
    <row r="17" spans="1:14" x14ac:dyDescent="0.2">
      <c r="A17" s="14" t="s">
        <v>404</v>
      </c>
      <c r="B17" s="14" t="s">
        <v>372</v>
      </c>
      <c r="C17" s="14" t="s">
        <v>545</v>
      </c>
      <c r="D17" s="14" t="s">
        <v>374</v>
      </c>
      <c r="E17" s="14" t="s">
        <v>546</v>
      </c>
      <c r="F17" s="14" t="s">
        <v>376</v>
      </c>
      <c r="G17" s="14" t="s">
        <v>547</v>
      </c>
      <c r="H17" s="14" t="s">
        <v>372</v>
      </c>
      <c r="I17" s="14" t="s">
        <v>521</v>
      </c>
      <c r="J17" s="14" t="s">
        <v>379</v>
      </c>
      <c r="K17" s="14">
        <v>250</v>
      </c>
      <c r="L17" s="14" t="s">
        <v>97</v>
      </c>
      <c r="M17" s="4">
        <f t="shared" si="0"/>
        <v>2</v>
      </c>
      <c r="N17" s="4" t="b">
        <f t="shared" si="1"/>
        <v>0</v>
      </c>
    </row>
    <row r="18" spans="1:14" x14ac:dyDescent="0.2">
      <c r="A18" s="14" t="s">
        <v>406</v>
      </c>
      <c r="B18" s="14" t="s">
        <v>372</v>
      </c>
      <c r="C18" s="14" t="s">
        <v>545</v>
      </c>
      <c r="D18" s="14" t="s">
        <v>374</v>
      </c>
      <c r="E18" s="14" t="s">
        <v>546</v>
      </c>
      <c r="F18" s="14" t="s">
        <v>376</v>
      </c>
      <c r="G18" s="14" t="s">
        <v>547</v>
      </c>
      <c r="H18" s="14" t="s">
        <v>372</v>
      </c>
      <c r="I18" s="14" t="s">
        <v>522</v>
      </c>
      <c r="J18" s="14" t="s">
        <v>379</v>
      </c>
      <c r="K18" s="14">
        <v>275</v>
      </c>
      <c r="L18" s="14" t="s">
        <v>97</v>
      </c>
      <c r="M18" s="4">
        <f t="shared" si="0"/>
        <v>3</v>
      </c>
      <c r="N18" s="4" t="b">
        <f t="shared" si="1"/>
        <v>0</v>
      </c>
    </row>
    <row r="19" spans="1:14" x14ac:dyDescent="0.2">
      <c r="A19" s="14" t="s">
        <v>408</v>
      </c>
      <c r="B19" s="14" t="s">
        <v>372</v>
      </c>
      <c r="C19" s="14" t="s">
        <v>545</v>
      </c>
      <c r="D19" s="14" t="s">
        <v>374</v>
      </c>
      <c r="E19" s="14" t="s">
        <v>546</v>
      </c>
      <c r="F19" s="14" t="s">
        <v>376</v>
      </c>
      <c r="G19" s="14" t="s">
        <v>547</v>
      </c>
      <c r="H19" s="14" t="s">
        <v>372</v>
      </c>
      <c r="I19" s="14" t="s">
        <v>522</v>
      </c>
      <c r="J19" s="14" t="s">
        <v>379</v>
      </c>
      <c r="K19" s="14">
        <v>300</v>
      </c>
      <c r="L19" s="14" t="s">
        <v>97</v>
      </c>
      <c r="M19" s="4">
        <f t="shared" si="0"/>
        <v>3</v>
      </c>
      <c r="N19" s="4" t="b">
        <f t="shared" si="1"/>
        <v>0</v>
      </c>
    </row>
    <row r="20" spans="1:14" x14ac:dyDescent="0.2">
      <c r="A20" s="14" t="s">
        <v>410</v>
      </c>
      <c r="B20" s="14" t="s">
        <v>372</v>
      </c>
      <c r="C20" s="14" t="s">
        <v>545</v>
      </c>
      <c r="D20" s="14" t="s">
        <v>374</v>
      </c>
      <c r="E20" s="14" t="s">
        <v>546</v>
      </c>
      <c r="F20" s="14" t="s">
        <v>376</v>
      </c>
      <c r="G20" s="14" t="s">
        <v>547</v>
      </c>
      <c r="H20" s="14" t="s">
        <v>372</v>
      </c>
      <c r="I20" s="14" t="s">
        <v>522</v>
      </c>
      <c r="J20" s="14" t="s">
        <v>379</v>
      </c>
      <c r="K20" s="14">
        <v>325</v>
      </c>
      <c r="L20" s="14" t="s">
        <v>97</v>
      </c>
      <c r="M20" s="4">
        <f t="shared" si="0"/>
        <v>3</v>
      </c>
      <c r="N20" s="4" t="b">
        <f t="shared" si="1"/>
        <v>0</v>
      </c>
    </row>
    <row r="21" spans="1:14" x14ac:dyDescent="0.2">
      <c r="A21" s="14" t="s">
        <v>412</v>
      </c>
      <c r="B21" s="14" t="s">
        <v>372</v>
      </c>
      <c r="C21" s="14" t="s">
        <v>545</v>
      </c>
      <c r="D21" s="14" t="s">
        <v>374</v>
      </c>
      <c r="E21" s="14" t="s">
        <v>546</v>
      </c>
      <c r="F21" s="14" t="s">
        <v>376</v>
      </c>
      <c r="G21" s="14" t="s">
        <v>547</v>
      </c>
      <c r="H21" s="14" t="s">
        <v>372</v>
      </c>
      <c r="I21" s="14" t="s">
        <v>523</v>
      </c>
      <c r="J21" s="14" t="s">
        <v>379</v>
      </c>
      <c r="K21" s="14">
        <v>350</v>
      </c>
      <c r="L21" s="14" t="s">
        <v>97</v>
      </c>
      <c r="M21" s="4">
        <f t="shared" si="0"/>
        <v>4</v>
      </c>
      <c r="N21" s="4" t="str">
        <f t="shared" si="1"/>
        <v>SELECT</v>
      </c>
    </row>
    <row r="22" spans="1:14" x14ac:dyDescent="0.2">
      <c r="A22" s="14" t="s">
        <v>414</v>
      </c>
      <c r="B22" s="14" t="s">
        <v>372</v>
      </c>
      <c r="C22" s="14" t="s">
        <v>545</v>
      </c>
      <c r="D22" s="14" t="s">
        <v>374</v>
      </c>
      <c r="E22" s="14" t="s">
        <v>546</v>
      </c>
      <c r="F22" s="14" t="s">
        <v>376</v>
      </c>
      <c r="G22" s="14" t="s">
        <v>547</v>
      </c>
      <c r="H22" s="14" t="s">
        <v>372</v>
      </c>
      <c r="I22" s="14" t="s">
        <v>523</v>
      </c>
      <c r="J22" s="14" t="s">
        <v>379</v>
      </c>
      <c r="K22" s="14">
        <v>400</v>
      </c>
      <c r="L22" s="14" t="s">
        <v>97</v>
      </c>
      <c r="M22" s="4">
        <f t="shared" si="0"/>
        <v>4</v>
      </c>
      <c r="N22" s="4" t="b">
        <f t="shared" si="1"/>
        <v>0</v>
      </c>
    </row>
    <row r="23" spans="1:14" x14ac:dyDescent="0.2">
      <c r="A23" s="14" t="s">
        <v>416</v>
      </c>
      <c r="B23" s="14" t="s">
        <v>372</v>
      </c>
      <c r="C23" s="14" t="s">
        <v>545</v>
      </c>
      <c r="D23" s="14" t="s">
        <v>374</v>
      </c>
      <c r="E23" s="14" t="s">
        <v>546</v>
      </c>
      <c r="F23" s="14" t="s">
        <v>376</v>
      </c>
      <c r="G23" s="14" t="s">
        <v>547</v>
      </c>
      <c r="H23" s="14" t="s">
        <v>372</v>
      </c>
      <c r="I23" s="14" t="s">
        <v>524</v>
      </c>
      <c r="J23" s="14" t="s">
        <v>379</v>
      </c>
      <c r="K23" s="14">
        <v>450</v>
      </c>
      <c r="L23" s="14" t="s">
        <v>97</v>
      </c>
      <c r="M23" s="4">
        <f t="shared" si="0"/>
        <v>5</v>
      </c>
      <c r="N23" s="4" t="b">
        <f t="shared" si="1"/>
        <v>0</v>
      </c>
    </row>
    <row r="24" spans="1:14" x14ac:dyDescent="0.2">
      <c r="A24" s="14" t="s">
        <v>418</v>
      </c>
      <c r="B24" s="14" t="s">
        <v>372</v>
      </c>
      <c r="C24" s="14" t="s">
        <v>545</v>
      </c>
      <c r="D24" s="14" t="s">
        <v>374</v>
      </c>
      <c r="E24" s="14" t="s">
        <v>546</v>
      </c>
      <c r="F24" s="14" t="s">
        <v>376</v>
      </c>
      <c r="G24" s="14" t="s">
        <v>547</v>
      </c>
      <c r="H24" s="14" t="s">
        <v>372</v>
      </c>
      <c r="I24" s="14" t="s">
        <v>525</v>
      </c>
      <c r="J24" s="14" t="s">
        <v>379</v>
      </c>
      <c r="K24" s="14">
        <v>500</v>
      </c>
      <c r="L24" s="14" t="s">
        <v>97</v>
      </c>
      <c r="M24" s="4">
        <f t="shared" si="0"/>
        <v>6</v>
      </c>
      <c r="N24" s="4" t="b">
        <f t="shared" si="1"/>
        <v>0</v>
      </c>
    </row>
    <row r="25" spans="1:14" x14ac:dyDescent="0.2">
      <c r="A25" s="14" t="s">
        <v>420</v>
      </c>
      <c r="B25" s="14" t="s">
        <v>372</v>
      </c>
      <c r="C25" s="14" t="s">
        <v>545</v>
      </c>
      <c r="D25" s="14" t="s">
        <v>374</v>
      </c>
      <c r="E25" s="14" t="s">
        <v>546</v>
      </c>
      <c r="F25" s="14" t="s">
        <v>376</v>
      </c>
      <c r="G25" s="14" t="s">
        <v>547</v>
      </c>
      <c r="H25" s="14" t="s">
        <v>372</v>
      </c>
      <c r="I25" s="14" t="s">
        <v>525</v>
      </c>
      <c r="J25" s="14" t="s">
        <v>379</v>
      </c>
      <c r="K25" s="14">
        <v>550</v>
      </c>
      <c r="L25" s="14" t="s">
        <v>97</v>
      </c>
      <c r="M25" s="4">
        <f t="shared" si="0"/>
        <v>6</v>
      </c>
      <c r="N25" s="4" t="b">
        <f t="shared" si="1"/>
        <v>0</v>
      </c>
    </row>
    <row r="26" spans="1:14" x14ac:dyDescent="0.2">
      <c r="A26" s="14" t="s">
        <v>422</v>
      </c>
      <c r="B26" s="14" t="s">
        <v>372</v>
      </c>
      <c r="C26" s="14" t="s">
        <v>545</v>
      </c>
      <c r="D26" s="14" t="s">
        <v>374</v>
      </c>
      <c r="E26" s="14" t="s">
        <v>546</v>
      </c>
      <c r="F26" s="14" t="s">
        <v>376</v>
      </c>
      <c r="G26" s="14" t="s">
        <v>547</v>
      </c>
      <c r="H26" s="14" t="s">
        <v>372</v>
      </c>
      <c r="I26" s="14" t="s">
        <v>526</v>
      </c>
      <c r="J26" s="14" t="s">
        <v>379</v>
      </c>
      <c r="K26" s="14">
        <v>600</v>
      </c>
      <c r="L26" s="14" t="s">
        <v>97</v>
      </c>
      <c r="M26" s="4">
        <f t="shared" si="0"/>
        <v>7</v>
      </c>
      <c r="N26" s="4" t="b">
        <f t="shared" si="1"/>
        <v>0</v>
      </c>
    </row>
    <row r="27" spans="1:14" x14ac:dyDescent="0.2">
      <c r="A27" s="14" t="s">
        <v>424</v>
      </c>
      <c r="B27" s="14" t="s">
        <v>372</v>
      </c>
      <c r="C27" s="14" t="s">
        <v>545</v>
      </c>
      <c r="D27" s="14" t="s">
        <v>374</v>
      </c>
      <c r="E27" s="14" t="s">
        <v>546</v>
      </c>
      <c r="F27" s="14" t="s">
        <v>376</v>
      </c>
      <c r="G27" s="14" t="s">
        <v>547</v>
      </c>
      <c r="H27" s="14" t="s">
        <v>372</v>
      </c>
      <c r="I27" s="14" t="s">
        <v>526</v>
      </c>
      <c r="J27" s="14" t="s">
        <v>379</v>
      </c>
      <c r="K27" s="14">
        <v>650</v>
      </c>
      <c r="L27" s="14" t="s">
        <v>97</v>
      </c>
      <c r="M27" s="4">
        <f t="shared" si="0"/>
        <v>7</v>
      </c>
      <c r="N27" s="4" t="b">
        <f t="shared" si="1"/>
        <v>0</v>
      </c>
    </row>
    <row r="28" spans="1:14" x14ac:dyDescent="0.2">
      <c r="A28" s="14" t="s">
        <v>426</v>
      </c>
      <c r="B28" s="14" t="s">
        <v>372</v>
      </c>
      <c r="C28" s="14" t="s">
        <v>545</v>
      </c>
      <c r="D28" s="14" t="s">
        <v>374</v>
      </c>
      <c r="E28" s="14" t="s">
        <v>546</v>
      </c>
      <c r="F28" s="14" t="s">
        <v>376</v>
      </c>
      <c r="G28" s="14" t="s">
        <v>547</v>
      </c>
      <c r="H28" s="14" t="s">
        <v>372</v>
      </c>
      <c r="I28" s="14" t="s">
        <v>527</v>
      </c>
      <c r="J28" s="14" t="s">
        <v>379</v>
      </c>
      <c r="K28" s="14">
        <v>700</v>
      </c>
      <c r="L28" s="14" t="s">
        <v>97</v>
      </c>
      <c r="M28" s="4">
        <f t="shared" si="0"/>
        <v>8</v>
      </c>
      <c r="N28" s="4" t="b">
        <f t="shared" si="1"/>
        <v>0</v>
      </c>
    </row>
    <row r="29" spans="1:14" x14ac:dyDescent="0.2">
      <c r="A29" s="14" t="s">
        <v>428</v>
      </c>
      <c r="B29" s="14" t="s">
        <v>372</v>
      </c>
      <c r="C29" s="14" t="s">
        <v>545</v>
      </c>
      <c r="D29" s="14" t="s">
        <v>374</v>
      </c>
      <c r="E29" s="14" t="s">
        <v>546</v>
      </c>
      <c r="F29" s="14" t="s">
        <v>376</v>
      </c>
      <c r="G29" s="14" t="s">
        <v>547</v>
      </c>
      <c r="H29" s="14" t="s">
        <v>372</v>
      </c>
      <c r="I29" s="14" t="s">
        <v>527</v>
      </c>
      <c r="J29" s="14" t="s">
        <v>379</v>
      </c>
      <c r="K29" s="14">
        <v>750</v>
      </c>
      <c r="L29" s="14" t="s">
        <v>97</v>
      </c>
      <c r="M29" s="4">
        <f t="shared" si="0"/>
        <v>8</v>
      </c>
      <c r="N29" s="4" t="b">
        <f t="shared" si="1"/>
        <v>0</v>
      </c>
    </row>
    <row r="30" spans="1:14" x14ac:dyDescent="0.2">
      <c r="A30" s="14" t="s">
        <v>430</v>
      </c>
      <c r="B30" s="14" t="s">
        <v>372</v>
      </c>
      <c r="C30" s="14" t="s">
        <v>545</v>
      </c>
      <c r="D30" s="14" t="s">
        <v>374</v>
      </c>
      <c r="E30" s="14" t="s">
        <v>546</v>
      </c>
      <c r="F30" s="14" t="s">
        <v>376</v>
      </c>
      <c r="G30" s="14" t="s">
        <v>547</v>
      </c>
      <c r="H30" s="14" t="s">
        <v>372</v>
      </c>
      <c r="I30" s="14" t="s">
        <v>528</v>
      </c>
      <c r="J30" s="14" t="s">
        <v>379</v>
      </c>
      <c r="K30" s="14">
        <v>800</v>
      </c>
      <c r="L30" s="14" t="s">
        <v>97</v>
      </c>
      <c r="M30" s="4">
        <f t="shared" si="0"/>
        <v>9</v>
      </c>
      <c r="N30" s="4" t="b">
        <f t="shared" si="1"/>
        <v>0</v>
      </c>
    </row>
    <row r="31" spans="1:14" x14ac:dyDescent="0.2">
      <c r="A31" s="14" t="s">
        <v>432</v>
      </c>
      <c r="B31" s="14" t="s">
        <v>372</v>
      </c>
      <c r="C31" s="14" t="s">
        <v>545</v>
      </c>
      <c r="D31" s="14" t="s">
        <v>374</v>
      </c>
      <c r="E31" s="14" t="s">
        <v>546</v>
      </c>
      <c r="F31" s="14" t="s">
        <v>376</v>
      </c>
      <c r="G31" s="14" t="s">
        <v>547</v>
      </c>
      <c r="H31" s="14" t="s">
        <v>372</v>
      </c>
      <c r="I31" s="14" t="s">
        <v>528</v>
      </c>
      <c r="J31" s="14" t="s">
        <v>379</v>
      </c>
      <c r="K31" s="14">
        <v>850</v>
      </c>
      <c r="L31" s="14" t="s">
        <v>97</v>
      </c>
      <c r="M31" s="4">
        <f t="shared" si="0"/>
        <v>9</v>
      </c>
      <c r="N31" s="4" t="b">
        <f t="shared" si="1"/>
        <v>0</v>
      </c>
    </row>
    <row r="32" spans="1:14" x14ac:dyDescent="0.2">
      <c r="A32" s="14" t="s">
        <v>434</v>
      </c>
      <c r="B32" s="14" t="s">
        <v>372</v>
      </c>
      <c r="C32" s="14" t="s">
        <v>545</v>
      </c>
      <c r="D32" s="14" t="s">
        <v>374</v>
      </c>
      <c r="E32" s="14" t="s">
        <v>546</v>
      </c>
      <c r="F32" s="14" t="s">
        <v>376</v>
      </c>
      <c r="G32" s="14" t="s">
        <v>547</v>
      </c>
      <c r="H32" s="14" t="s">
        <v>372</v>
      </c>
      <c r="I32" s="14" t="s">
        <v>528</v>
      </c>
      <c r="J32" s="14" t="s">
        <v>379</v>
      </c>
      <c r="K32" s="14">
        <v>900</v>
      </c>
      <c r="L32" s="14" t="s">
        <v>97</v>
      </c>
      <c r="M32" s="4">
        <f t="shared" si="0"/>
        <v>9</v>
      </c>
      <c r="N32" s="4" t="b">
        <f t="shared" si="1"/>
        <v>0</v>
      </c>
    </row>
    <row r="33" spans="1:14" x14ac:dyDescent="0.2">
      <c r="A33" s="14" t="s">
        <v>436</v>
      </c>
      <c r="B33" s="14" t="s">
        <v>372</v>
      </c>
      <c r="C33" s="14" t="s">
        <v>545</v>
      </c>
      <c r="D33" s="14" t="s">
        <v>374</v>
      </c>
      <c r="E33" s="14" t="s">
        <v>546</v>
      </c>
      <c r="F33" s="14" t="s">
        <v>376</v>
      </c>
      <c r="G33" s="14" t="s">
        <v>547</v>
      </c>
      <c r="H33" s="14" t="s">
        <v>372</v>
      </c>
      <c r="I33" s="14" t="s">
        <v>529</v>
      </c>
      <c r="J33" s="14" t="s">
        <v>379</v>
      </c>
      <c r="K33" s="14">
        <v>950</v>
      </c>
      <c r="L33" s="14" t="s">
        <v>97</v>
      </c>
      <c r="M33" s="4">
        <f t="shared" si="0"/>
        <v>10</v>
      </c>
      <c r="N33" s="4" t="b">
        <f t="shared" si="1"/>
        <v>0</v>
      </c>
    </row>
    <row r="34" spans="1:14" x14ac:dyDescent="0.2">
      <c r="A34" s="14" t="s">
        <v>438</v>
      </c>
      <c r="B34" s="14" t="s">
        <v>372</v>
      </c>
      <c r="C34" s="14" t="s">
        <v>545</v>
      </c>
      <c r="D34" s="14" t="s">
        <v>374</v>
      </c>
      <c r="E34" s="14" t="s">
        <v>546</v>
      </c>
      <c r="F34" s="14" t="s">
        <v>376</v>
      </c>
      <c r="G34" s="14" t="s">
        <v>547</v>
      </c>
      <c r="H34" s="14" t="s">
        <v>372</v>
      </c>
      <c r="I34" s="14" t="s">
        <v>529</v>
      </c>
      <c r="J34" s="14" t="s">
        <v>379</v>
      </c>
      <c r="K34" s="14">
        <v>1000</v>
      </c>
      <c r="L34" s="14" t="s">
        <v>97</v>
      </c>
      <c r="M34" s="4">
        <f t="shared" si="0"/>
        <v>10</v>
      </c>
      <c r="N34" s="4" t="b">
        <f t="shared" si="1"/>
        <v>0</v>
      </c>
    </row>
    <row r="35" spans="1:14" x14ac:dyDescent="0.2">
      <c r="A35" s="14" t="s">
        <v>440</v>
      </c>
      <c r="B35" s="14" t="s">
        <v>372</v>
      </c>
      <c r="C35" s="14" t="s">
        <v>545</v>
      </c>
      <c r="D35" s="14" t="s">
        <v>374</v>
      </c>
      <c r="E35" s="14" t="s">
        <v>546</v>
      </c>
      <c r="F35" s="14" t="s">
        <v>376</v>
      </c>
      <c r="G35" s="14" t="s">
        <v>547</v>
      </c>
      <c r="H35" s="14" t="s">
        <v>372</v>
      </c>
      <c r="I35" s="14" t="s">
        <v>530</v>
      </c>
      <c r="J35" s="14" t="s">
        <v>379</v>
      </c>
      <c r="K35" s="14">
        <v>1050</v>
      </c>
      <c r="L35" s="14" t="s">
        <v>97</v>
      </c>
      <c r="M35" s="4">
        <f t="shared" si="0"/>
        <v>11</v>
      </c>
      <c r="N35" s="4" t="b">
        <f t="shared" si="1"/>
        <v>0</v>
      </c>
    </row>
    <row r="36" spans="1:14" x14ac:dyDescent="0.2">
      <c r="A36" s="14" t="s">
        <v>442</v>
      </c>
      <c r="B36" s="14" t="s">
        <v>372</v>
      </c>
      <c r="C36" s="14" t="s">
        <v>545</v>
      </c>
      <c r="D36" s="14" t="s">
        <v>374</v>
      </c>
      <c r="E36" s="14" t="s">
        <v>546</v>
      </c>
      <c r="F36" s="14" t="s">
        <v>376</v>
      </c>
      <c r="G36" s="14" t="s">
        <v>547</v>
      </c>
      <c r="H36" s="14" t="s">
        <v>372</v>
      </c>
      <c r="I36" s="14" t="s">
        <v>530</v>
      </c>
      <c r="J36" s="14" t="s">
        <v>379</v>
      </c>
      <c r="K36" s="14">
        <v>1100</v>
      </c>
      <c r="L36" s="14" t="s">
        <v>97</v>
      </c>
      <c r="M36" s="4">
        <f t="shared" si="0"/>
        <v>11</v>
      </c>
      <c r="N36" s="4" t="b">
        <f t="shared" si="1"/>
        <v>0</v>
      </c>
    </row>
    <row r="37" spans="1:14" x14ac:dyDescent="0.2">
      <c r="A37" s="14" t="s">
        <v>444</v>
      </c>
      <c r="B37" s="14" t="s">
        <v>372</v>
      </c>
      <c r="C37" s="14" t="s">
        <v>545</v>
      </c>
      <c r="D37" s="14" t="s">
        <v>374</v>
      </c>
      <c r="E37" s="14" t="s">
        <v>546</v>
      </c>
      <c r="F37" s="14" t="s">
        <v>376</v>
      </c>
      <c r="G37" s="14" t="s">
        <v>547</v>
      </c>
      <c r="H37" s="14" t="s">
        <v>372</v>
      </c>
      <c r="I37" s="14" t="s">
        <v>531</v>
      </c>
      <c r="J37" s="14" t="s">
        <v>379</v>
      </c>
      <c r="K37" s="14">
        <v>1150</v>
      </c>
      <c r="L37" s="14" t="s">
        <v>97</v>
      </c>
      <c r="M37" s="4">
        <f t="shared" si="0"/>
        <v>12</v>
      </c>
      <c r="N37" s="4" t="b">
        <f t="shared" si="1"/>
        <v>0</v>
      </c>
    </row>
    <row r="38" spans="1:14" x14ac:dyDescent="0.2">
      <c r="A38" s="14" t="s">
        <v>446</v>
      </c>
      <c r="B38" s="14" t="s">
        <v>372</v>
      </c>
      <c r="C38" s="14" t="s">
        <v>545</v>
      </c>
      <c r="D38" s="14" t="s">
        <v>374</v>
      </c>
      <c r="E38" s="14" t="s">
        <v>546</v>
      </c>
      <c r="F38" s="14" t="s">
        <v>376</v>
      </c>
      <c r="G38" s="14" t="s">
        <v>547</v>
      </c>
      <c r="H38" s="14" t="s">
        <v>372</v>
      </c>
      <c r="I38" s="14" t="s">
        <v>531</v>
      </c>
      <c r="J38" s="14" t="s">
        <v>379</v>
      </c>
      <c r="K38" s="14">
        <v>1200</v>
      </c>
      <c r="L38" s="14" t="s">
        <v>97</v>
      </c>
      <c r="M38" s="4">
        <f t="shared" si="0"/>
        <v>12</v>
      </c>
      <c r="N38" s="4" t="b">
        <f t="shared" si="1"/>
        <v>0</v>
      </c>
    </row>
    <row r="39" spans="1:14" x14ac:dyDescent="0.2">
      <c r="A39" s="14" t="s">
        <v>448</v>
      </c>
      <c r="B39" s="14" t="s">
        <v>372</v>
      </c>
      <c r="C39" s="14" t="s">
        <v>545</v>
      </c>
      <c r="D39" s="14" t="s">
        <v>374</v>
      </c>
      <c r="E39" s="14" t="s">
        <v>546</v>
      </c>
      <c r="F39" s="14" t="s">
        <v>376</v>
      </c>
      <c r="G39" s="14" t="s">
        <v>547</v>
      </c>
      <c r="H39" s="14" t="s">
        <v>372</v>
      </c>
      <c r="I39" s="14" t="s">
        <v>532</v>
      </c>
      <c r="J39" s="14" t="s">
        <v>379</v>
      </c>
      <c r="K39" s="14">
        <v>1250</v>
      </c>
      <c r="L39" s="14" t="s">
        <v>97</v>
      </c>
      <c r="M39" s="4">
        <f t="shared" si="0"/>
        <v>13</v>
      </c>
      <c r="N39" s="4" t="b">
        <f t="shared" si="1"/>
        <v>0</v>
      </c>
    </row>
    <row r="40" spans="1:14" x14ac:dyDescent="0.2">
      <c r="A40" s="14" t="s">
        <v>450</v>
      </c>
      <c r="B40" s="14" t="s">
        <v>372</v>
      </c>
      <c r="C40" s="14" t="s">
        <v>545</v>
      </c>
      <c r="D40" s="14" t="s">
        <v>374</v>
      </c>
      <c r="E40" s="14" t="s">
        <v>546</v>
      </c>
      <c r="F40" s="14" t="s">
        <v>376</v>
      </c>
      <c r="G40" s="14" t="s">
        <v>547</v>
      </c>
      <c r="H40" s="14" t="s">
        <v>372</v>
      </c>
      <c r="I40" s="14" t="s">
        <v>532</v>
      </c>
      <c r="J40" s="14" t="s">
        <v>379</v>
      </c>
      <c r="K40" s="14">
        <v>1300</v>
      </c>
      <c r="L40" s="14" t="s">
        <v>97</v>
      </c>
      <c r="M40" s="4">
        <f t="shared" si="0"/>
        <v>13</v>
      </c>
      <c r="N40" s="4" t="b">
        <f t="shared" si="1"/>
        <v>0</v>
      </c>
    </row>
    <row r="41" spans="1:14" x14ac:dyDescent="0.2">
      <c r="A41" s="14" t="s">
        <v>452</v>
      </c>
      <c r="B41" s="14" t="s">
        <v>372</v>
      </c>
      <c r="C41" s="14" t="s">
        <v>545</v>
      </c>
      <c r="D41" s="14" t="s">
        <v>374</v>
      </c>
      <c r="E41" s="14" t="s">
        <v>546</v>
      </c>
      <c r="F41" s="14" t="s">
        <v>376</v>
      </c>
      <c r="G41" s="14" t="s">
        <v>547</v>
      </c>
      <c r="H41" s="14" t="s">
        <v>372</v>
      </c>
      <c r="I41" s="14" t="s">
        <v>533</v>
      </c>
      <c r="J41" s="14" t="s">
        <v>379</v>
      </c>
      <c r="K41" s="14">
        <v>1350</v>
      </c>
      <c r="L41" s="14" t="s">
        <v>97</v>
      </c>
      <c r="M41" s="4">
        <f t="shared" si="0"/>
        <v>14</v>
      </c>
      <c r="N41" s="4" t="b">
        <f t="shared" si="1"/>
        <v>0</v>
      </c>
    </row>
    <row r="42" spans="1:14" x14ac:dyDescent="0.2">
      <c r="A42" s="14" t="s">
        <v>454</v>
      </c>
      <c r="B42" s="14" t="s">
        <v>372</v>
      </c>
      <c r="C42" s="14" t="s">
        <v>545</v>
      </c>
      <c r="D42" s="14" t="s">
        <v>374</v>
      </c>
      <c r="E42" s="14" t="s">
        <v>546</v>
      </c>
      <c r="F42" s="14" t="s">
        <v>376</v>
      </c>
      <c r="G42" s="14" t="s">
        <v>547</v>
      </c>
      <c r="H42" s="14" t="s">
        <v>372</v>
      </c>
      <c r="I42" s="14" t="s">
        <v>533</v>
      </c>
      <c r="J42" s="14" t="s">
        <v>379</v>
      </c>
      <c r="K42" s="14">
        <v>1400</v>
      </c>
      <c r="L42" s="14" t="s">
        <v>97</v>
      </c>
      <c r="M42" s="4">
        <f t="shared" si="0"/>
        <v>14</v>
      </c>
      <c r="N42" s="4" t="b">
        <f t="shared" si="1"/>
        <v>0</v>
      </c>
    </row>
    <row r="43" spans="1:14" x14ac:dyDescent="0.2">
      <c r="A43" s="14" t="s">
        <v>456</v>
      </c>
      <c r="B43" s="14" t="s">
        <v>372</v>
      </c>
      <c r="C43" s="14" t="s">
        <v>545</v>
      </c>
      <c r="D43" s="14" t="s">
        <v>374</v>
      </c>
      <c r="E43" s="14" t="s">
        <v>546</v>
      </c>
      <c r="F43" s="14" t="s">
        <v>376</v>
      </c>
      <c r="G43" s="14" t="s">
        <v>547</v>
      </c>
      <c r="H43" s="14" t="s">
        <v>372</v>
      </c>
      <c r="I43" s="14" t="s">
        <v>534</v>
      </c>
      <c r="J43" s="14" t="s">
        <v>379</v>
      </c>
      <c r="K43" s="14">
        <v>1450</v>
      </c>
      <c r="L43" s="14" t="s">
        <v>97</v>
      </c>
      <c r="M43" s="4">
        <f t="shared" si="0"/>
        <v>15</v>
      </c>
      <c r="N43" s="4" t="b">
        <f t="shared" si="1"/>
        <v>0</v>
      </c>
    </row>
    <row r="44" spans="1:14" x14ac:dyDescent="0.2">
      <c r="A44" s="14" t="s">
        <v>458</v>
      </c>
      <c r="B44" s="14" t="s">
        <v>372</v>
      </c>
      <c r="C44" s="14" t="s">
        <v>545</v>
      </c>
      <c r="D44" s="14" t="s">
        <v>374</v>
      </c>
      <c r="E44" s="14" t="s">
        <v>546</v>
      </c>
      <c r="F44" s="14" t="s">
        <v>376</v>
      </c>
      <c r="G44" s="14" t="s">
        <v>547</v>
      </c>
      <c r="H44" s="14" t="s">
        <v>372</v>
      </c>
      <c r="I44" s="14" t="s">
        <v>534</v>
      </c>
      <c r="J44" s="14" t="s">
        <v>379</v>
      </c>
      <c r="K44" s="14">
        <v>1500</v>
      </c>
      <c r="L44" s="14" t="s">
        <v>97</v>
      </c>
      <c r="M44" s="4">
        <f t="shared" si="0"/>
        <v>15</v>
      </c>
      <c r="N44" s="4" t="b">
        <f t="shared" si="1"/>
        <v>0</v>
      </c>
    </row>
    <row r="45" spans="1:14" x14ac:dyDescent="0.2">
      <c r="A45" s="14" t="s">
        <v>460</v>
      </c>
      <c r="B45" s="14" t="s">
        <v>372</v>
      </c>
      <c r="C45" s="14" t="s">
        <v>545</v>
      </c>
      <c r="D45" s="14" t="s">
        <v>374</v>
      </c>
      <c r="E45" s="14" t="s">
        <v>546</v>
      </c>
      <c r="F45" s="14" t="s">
        <v>376</v>
      </c>
      <c r="G45" s="14" t="s">
        <v>547</v>
      </c>
      <c r="H45" s="14" t="s">
        <v>372</v>
      </c>
      <c r="I45" s="14" t="s">
        <v>534</v>
      </c>
      <c r="J45" s="14" t="s">
        <v>379</v>
      </c>
      <c r="K45" s="14">
        <v>1550</v>
      </c>
      <c r="L45" s="14" t="s">
        <v>97</v>
      </c>
      <c r="M45" s="4">
        <f t="shared" si="0"/>
        <v>15</v>
      </c>
      <c r="N45" s="4" t="b">
        <f t="shared" si="1"/>
        <v>0</v>
      </c>
    </row>
    <row r="46" spans="1:14" x14ac:dyDescent="0.2">
      <c r="A46" s="14" t="s">
        <v>462</v>
      </c>
      <c r="B46" s="14" t="s">
        <v>372</v>
      </c>
      <c r="C46" s="14" t="s">
        <v>545</v>
      </c>
      <c r="D46" s="14" t="s">
        <v>374</v>
      </c>
      <c r="E46" s="14" t="s">
        <v>546</v>
      </c>
      <c r="F46" s="14" t="s">
        <v>376</v>
      </c>
      <c r="G46" s="14" t="s">
        <v>547</v>
      </c>
      <c r="H46" s="14" t="s">
        <v>372</v>
      </c>
      <c r="I46" s="14" t="s">
        <v>535</v>
      </c>
      <c r="J46" s="14" t="s">
        <v>379</v>
      </c>
      <c r="K46" s="14">
        <v>1600</v>
      </c>
      <c r="L46" s="14" t="s">
        <v>97</v>
      </c>
      <c r="M46" s="4">
        <f t="shared" si="0"/>
        <v>16</v>
      </c>
      <c r="N46" s="4" t="b">
        <f t="shared" si="1"/>
        <v>0</v>
      </c>
    </row>
    <row r="47" spans="1:14" x14ac:dyDescent="0.2">
      <c r="A47" s="14" t="s">
        <v>464</v>
      </c>
      <c r="B47" s="14" t="s">
        <v>372</v>
      </c>
      <c r="C47" s="14" t="s">
        <v>545</v>
      </c>
      <c r="D47" s="14" t="s">
        <v>374</v>
      </c>
      <c r="E47" s="14" t="s">
        <v>546</v>
      </c>
      <c r="F47" s="14" t="s">
        <v>376</v>
      </c>
      <c r="G47" s="14" t="s">
        <v>547</v>
      </c>
      <c r="H47" s="14" t="s">
        <v>372</v>
      </c>
      <c r="I47" s="14" t="s">
        <v>535</v>
      </c>
      <c r="J47" s="14" t="s">
        <v>379</v>
      </c>
      <c r="K47" s="14">
        <v>1650</v>
      </c>
      <c r="L47" s="14" t="s">
        <v>97</v>
      </c>
      <c r="M47" s="4">
        <f t="shared" si="0"/>
        <v>16</v>
      </c>
      <c r="N47" s="4" t="b">
        <f t="shared" si="1"/>
        <v>0</v>
      </c>
    </row>
    <row r="48" spans="1:14" x14ac:dyDescent="0.2">
      <c r="A48" s="14" t="s">
        <v>466</v>
      </c>
      <c r="B48" s="14" t="s">
        <v>372</v>
      </c>
      <c r="C48" s="14" t="s">
        <v>545</v>
      </c>
      <c r="D48" s="14" t="s">
        <v>374</v>
      </c>
      <c r="E48" s="14" t="s">
        <v>546</v>
      </c>
      <c r="F48" s="14" t="s">
        <v>376</v>
      </c>
      <c r="G48" s="14" t="s">
        <v>547</v>
      </c>
      <c r="H48" s="14" t="s">
        <v>372</v>
      </c>
      <c r="I48" s="14" t="s">
        <v>536</v>
      </c>
      <c r="J48" s="14" t="s">
        <v>379</v>
      </c>
      <c r="K48" s="14">
        <v>1700</v>
      </c>
      <c r="L48" s="14" t="s">
        <v>97</v>
      </c>
      <c r="M48" s="4">
        <f t="shared" si="0"/>
        <v>17</v>
      </c>
      <c r="N48" s="4" t="b">
        <f t="shared" si="1"/>
        <v>0</v>
      </c>
    </row>
    <row r="49" spans="1:14" x14ac:dyDescent="0.2">
      <c r="A49" s="14" t="s">
        <v>468</v>
      </c>
      <c r="B49" s="14" t="s">
        <v>372</v>
      </c>
      <c r="C49" s="14" t="s">
        <v>545</v>
      </c>
      <c r="D49" s="14" t="s">
        <v>374</v>
      </c>
      <c r="E49" s="14" t="s">
        <v>546</v>
      </c>
      <c r="F49" s="14" t="s">
        <v>376</v>
      </c>
      <c r="G49" s="14" t="s">
        <v>547</v>
      </c>
      <c r="H49" s="14" t="s">
        <v>372</v>
      </c>
      <c r="I49" s="14" t="s">
        <v>536</v>
      </c>
      <c r="J49" s="14" t="s">
        <v>379</v>
      </c>
      <c r="K49" s="14">
        <v>1750</v>
      </c>
      <c r="L49" s="14" t="s">
        <v>97</v>
      </c>
      <c r="M49" s="4">
        <f t="shared" si="0"/>
        <v>17</v>
      </c>
      <c r="N49" s="4" t="b">
        <f t="shared" si="1"/>
        <v>0</v>
      </c>
    </row>
    <row r="50" spans="1:14" x14ac:dyDescent="0.2">
      <c r="A50" s="14" t="s">
        <v>470</v>
      </c>
      <c r="B50" s="14" t="s">
        <v>372</v>
      </c>
      <c r="C50" s="14" t="s">
        <v>545</v>
      </c>
      <c r="D50" s="14" t="s">
        <v>374</v>
      </c>
      <c r="E50" s="14" t="s">
        <v>546</v>
      </c>
      <c r="F50" s="14" t="s">
        <v>376</v>
      </c>
      <c r="G50" s="14" t="s">
        <v>547</v>
      </c>
      <c r="H50" s="14" t="s">
        <v>372</v>
      </c>
      <c r="I50" s="14" t="s">
        <v>537</v>
      </c>
      <c r="J50" s="14" t="s">
        <v>379</v>
      </c>
      <c r="K50" s="14">
        <v>1800</v>
      </c>
      <c r="L50" s="14" t="s">
        <v>97</v>
      </c>
      <c r="M50" s="4">
        <f t="shared" si="0"/>
        <v>18</v>
      </c>
      <c r="N50" s="4" t="b">
        <f t="shared" si="1"/>
        <v>0</v>
      </c>
    </row>
    <row r="51" spans="1:14" x14ac:dyDescent="0.2">
      <c r="A51" s="14" t="s">
        <v>472</v>
      </c>
      <c r="B51" s="14" t="s">
        <v>372</v>
      </c>
      <c r="C51" s="14" t="s">
        <v>545</v>
      </c>
      <c r="D51" s="14" t="s">
        <v>374</v>
      </c>
      <c r="E51" s="14" t="s">
        <v>546</v>
      </c>
      <c r="F51" s="14" t="s">
        <v>376</v>
      </c>
      <c r="G51" s="14" t="s">
        <v>547</v>
      </c>
      <c r="H51" s="14" t="s">
        <v>372</v>
      </c>
      <c r="I51" s="14" t="s">
        <v>537</v>
      </c>
      <c r="J51" s="14" t="s">
        <v>379</v>
      </c>
      <c r="K51" s="14">
        <v>1850</v>
      </c>
      <c r="L51" s="14" t="s">
        <v>97</v>
      </c>
      <c r="M51" s="4">
        <f t="shared" si="0"/>
        <v>18</v>
      </c>
      <c r="N51" s="4" t="b">
        <f t="shared" si="1"/>
        <v>0</v>
      </c>
    </row>
    <row r="52" spans="1:14" x14ac:dyDescent="0.2">
      <c r="A52" s="14" t="s">
        <v>474</v>
      </c>
      <c r="B52" s="14" t="s">
        <v>372</v>
      </c>
      <c r="C52" s="14" t="s">
        <v>545</v>
      </c>
      <c r="D52" s="14" t="s">
        <v>374</v>
      </c>
      <c r="E52" s="14" t="s">
        <v>546</v>
      </c>
      <c r="F52" s="14" t="s">
        <v>376</v>
      </c>
      <c r="G52" s="14" t="s">
        <v>547</v>
      </c>
      <c r="H52" s="14" t="s">
        <v>372</v>
      </c>
      <c r="I52" s="14" t="s">
        <v>538</v>
      </c>
      <c r="J52" s="14" t="s">
        <v>379</v>
      </c>
      <c r="K52" s="14">
        <v>1900</v>
      </c>
      <c r="L52" s="14" t="s">
        <v>97</v>
      </c>
      <c r="M52" s="4">
        <f t="shared" si="0"/>
        <v>19</v>
      </c>
      <c r="N52" s="4" t="b">
        <f t="shared" si="1"/>
        <v>0</v>
      </c>
    </row>
    <row r="53" spans="1:14" x14ac:dyDescent="0.2">
      <c r="A53" s="14" t="s">
        <v>476</v>
      </c>
      <c r="B53" s="14" t="s">
        <v>372</v>
      </c>
      <c r="C53" s="14" t="s">
        <v>545</v>
      </c>
      <c r="D53" s="14" t="s">
        <v>374</v>
      </c>
      <c r="E53" s="14" t="s">
        <v>546</v>
      </c>
      <c r="F53" s="14" t="s">
        <v>376</v>
      </c>
      <c r="G53" s="14" t="s">
        <v>547</v>
      </c>
      <c r="H53" s="14" t="s">
        <v>372</v>
      </c>
      <c r="I53" s="14" t="s">
        <v>538</v>
      </c>
      <c r="J53" s="14" t="s">
        <v>379</v>
      </c>
      <c r="K53" s="14">
        <v>1950</v>
      </c>
      <c r="L53" s="14" t="s">
        <v>97</v>
      </c>
      <c r="M53" s="4">
        <f t="shared" si="0"/>
        <v>19</v>
      </c>
      <c r="N53" s="4" t="b">
        <f t="shared" si="1"/>
        <v>0</v>
      </c>
    </row>
    <row r="54" spans="1:14" x14ac:dyDescent="0.2">
      <c r="A54" s="14" t="s">
        <v>478</v>
      </c>
      <c r="B54" s="14" t="s">
        <v>372</v>
      </c>
      <c r="C54" s="14" t="s">
        <v>545</v>
      </c>
      <c r="D54" s="14" t="s">
        <v>374</v>
      </c>
      <c r="E54" s="14" t="s">
        <v>546</v>
      </c>
      <c r="F54" s="14" t="s">
        <v>376</v>
      </c>
      <c r="G54" s="14" t="s">
        <v>547</v>
      </c>
      <c r="H54" s="14" t="s">
        <v>372</v>
      </c>
      <c r="I54" s="14" t="s">
        <v>539</v>
      </c>
      <c r="J54" s="14" t="s">
        <v>379</v>
      </c>
      <c r="K54" s="14">
        <v>2000</v>
      </c>
      <c r="L54" s="14" t="s">
        <v>97</v>
      </c>
      <c r="M54" s="4">
        <f t="shared" si="0"/>
        <v>20</v>
      </c>
      <c r="N54" s="4" t="b">
        <f t="shared" si="1"/>
        <v>0</v>
      </c>
    </row>
    <row r="55" spans="1:14" x14ac:dyDescent="0.2">
      <c r="A55" s="14" t="s">
        <v>480</v>
      </c>
      <c r="B55" s="14" t="s">
        <v>372</v>
      </c>
      <c r="C55" s="14" t="s">
        <v>545</v>
      </c>
      <c r="D55" s="14" t="s">
        <v>374</v>
      </c>
      <c r="E55" s="14" t="s">
        <v>546</v>
      </c>
      <c r="F55" s="14" t="s">
        <v>376</v>
      </c>
      <c r="G55" s="14" t="s">
        <v>547</v>
      </c>
      <c r="H55" s="14" t="s">
        <v>372</v>
      </c>
      <c r="I55" s="14" t="s">
        <v>539</v>
      </c>
      <c r="J55" s="14" t="s">
        <v>379</v>
      </c>
      <c r="K55" s="14">
        <v>2050</v>
      </c>
      <c r="L55" s="14" t="s">
        <v>97</v>
      </c>
      <c r="M55" s="4">
        <f t="shared" si="0"/>
        <v>20</v>
      </c>
      <c r="N55" s="4" t="b">
        <f t="shared" si="1"/>
        <v>0</v>
      </c>
    </row>
    <row r="56" spans="1:14" x14ac:dyDescent="0.2">
      <c r="A56" s="14" t="s">
        <v>482</v>
      </c>
      <c r="B56" s="14" t="s">
        <v>372</v>
      </c>
      <c r="C56" s="14" t="s">
        <v>545</v>
      </c>
      <c r="D56" s="14" t="s">
        <v>374</v>
      </c>
      <c r="E56" s="14" t="s">
        <v>546</v>
      </c>
      <c r="F56" s="14" t="s">
        <v>376</v>
      </c>
      <c r="G56" s="14" t="s">
        <v>547</v>
      </c>
      <c r="H56" s="14" t="s">
        <v>372</v>
      </c>
      <c r="I56" s="14" t="s">
        <v>540</v>
      </c>
      <c r="J56" s="14" t="s">
        <v>379</v>
      </c>
      <c r="K56" s="14">
        <v>2100</v>
      </c>
      <c r="L56" s="14" t="s">
        <v>97</v>
      </c>
      <c r="M56" s="4">
        <f t="shared" si="0"/>
        <v>21</v>
      </c>
      <c r="N56" s="4" t="b">
        <f t="shared" si="1"/>
        <v>0</v>
      </c>
    </row>
    <row r="57" spans="1:14" x14ac:dyDescent="0.2">
      <c r="A57" s="14" t="s">
        <v>484</v>
      </c>
      <c r="B57" s="14" t="s">
        <v>372</v>
      </c>
      <c r="C57" s="14" t="s">
        <v>545</v>
      </c>
      <c r="D57" s="14" t="s">
        <v>374</v>
      </c>
      <c r="E57" s="14" t="s">
        <v>546</v>
      </c>
      <c r="F57" s="14" t="s">
        <v>376</v>
      </c>
      <c r="G57" s="14" t="s">
        <v>547</v>
      </c>
      <c r="H57" s="14" t="s">
        <v>372</v>
      </c>
      <c r="I57" s="14" t="s">
        <v>540</v>
      </c>
      <c r="J57" s="14" t="s">
        <v>379</v>
      </c>
      <c r="K57" s="14">
        <v>2150</v>
      </c>
      <c r="L57" s="14" t="s">
        <v>97</v>
      </c>
      <c r="M57" s="4">
        <f t="shared" si="0"/>
        <v>21</v>
      </c>
      <c r="N57" s="4" t="b">
        <f t="shared" si="1"/>
        <v>0</v>
      </c>
    </row>
    <row r="58" spans="1:14" x14ac:dyDescent="0.2">
      <c r="A58" s="14" t="s">
        <v>486</v>
      </c>
      <c r="B58" s="14" t="s">
        <v>372</v>
      </c>
      <c r="C58" s="14" t="s">
        <v>545</v>
      </c>
      <c r="D58" s="14" t="s">
        <v>374</v>
      </c>
      <c r="E58" s="14" t="s">
        <v>546</v>
      </c>
      <c r="F58" s="14" t="s">
        <v>376</v>
      </c>
      <c r="G58" s="14" t="s">
        <v>547</v>
      </c>
      <c r="H58" s="14" t="s">
        <v>372</v>
      </c>
      <c r="I58" s="14" t="s">
        <v>541</v>
      </c>
      <c r="J58" s="14" t="s">
        <v>379</v>
      </c>
      <c r="K58" s="14">
        <v>2200</v>
      </c>
      <c r="L58" s="14" t="s">
        <v>97</v>
      </c>
      <c r="M58" s="4">
        <f t="shared" si="0"/>
        <v>22</v>
      </c>
      <c r="N58" s="4" t="b">
        <f t="shared" si="1"/>
        <v>0</v>
      </c>
    </row>
    <row r="59" spans="1:14" x14ac:dyDescent="0.2">
      <c r="A59" s="14" t="s">
        <v>488</v>
      </c>
      <c r="B59" s="14" t="s">
        <v>372</v>
      </c>
      <c r="C59" s="14" t="s">
        <v>545</v>
      </c>
      <c r="D59" s="14" t="s">
        <v>374</v>
      </c>
      <c r="E59" s="14" t="s">
        <v>546</v>
      </c>
      <c r="F59" s="14" t="s">
        <v>376</v>
      </c>
      <c r="G59" s="14" t="s">
        <v>547</v>
      </c>
      <c r="H59" s="14" t="s">
        <v>372</v>
      </c>
      <c r="I59" s="14" t="s">
        <v>541</v>
      </c>
      <c r="J59" s="14" t="s">
        <v>379</v>
      </c>
      <c r="K59" s="14">
        <v>2250</v>
      </c>
      <c r="L59" s="14" t="s">
        <v>97</v>
      </c>
      <c r="M59" s="4">
        <f t="shared" si="0"/>
        <v>22</v>
      </c>
      <c r="N59" s="4" t="b">
        <f t="shared" si="1"/>
        <v>0</v>
      </c>
    </row>
    <row r="60" spans="1:14" x14ac:dyDescent="0.2">
      <c r="A60" s="14" t="s">
        <v>490</v>
      </c>
      <c r="B60" s="14" t="s">
        <v>372</v>
      </c>
      <c r="C60" s="14" t="s">
        <v>545</v>
      </c>
      <c r="D60" s="14" t="s">
        <v>374</v>
      </c>
      <c r="E60" s="14" t="s">
        <v>546</v>
      </c>
      <c r="F60" s="14" t="s">
        <v>376</v>
      </c>
      <c r="G60" s="14" t="s">
        <v>547</v>
      </c>
      <c r="H60" s="14" t="s">
        <v>372</v>
      </c>
      <c r="I60" s="14" t="s">
        <v>541</v>
      </c>
      <c r="J60" s="14" t="s">
        <v>379</v>
      </c>
      <c r="K60" s="14">
        <v>2300</v>
      </c>
      <c r="L60" s="14" t="s">
        <v>97</v>
      </c>
      <c r="M60" s="4">
        <f t="shared" si="0"/>
        <v>22</v>
      </c>
      <c r="N60" s="4" t="b">
        <f t="shared" si="1"/>
        <v>0</v>
      </c>
    </row>
    <row r="61" spans="1:14" x14ac:dyDescent="0.2">
      <c r="A61" s="14" t="s">
        <v>492</v>
      </c>
      <c r="B61" s="14" t="s">
        <v>372</v>
      </c>
      <c r="C61" s="14" t="s">
        <v>545</v>
      </c>
      <c r="D61" s="14" t="s">
        <v>374</v>
      </c>
      <c r="E61" s="14" t="s">
        <v>546</v>
      </c>
      <c r="F61" s="14" t="s">
        <v>376</v>
      </c>
      <c r="G61" s="14" t="s">
        <v>547</v>
      </c>
      <c r="H61" s="14" t="s">
        <v>372</v>
      </c>
      <c r="I61" s="14" t="s">
        <v>543</v>
      </c>
      <c r="J61" s="14" t="s">
        <v>379</v>
      </c>
      <c r="K61" s="14">
        <v>2350</v>
      </c>
      <c r="L61" s="14" t="s">
        <v>97</v>
      </c>
      <c r="M61" s="4">
        <f t="shared" si="0"/>
        <v>24</v>
      </c>
      <c r="N61" s="4" t="b">
        <f t="shared" si="1"/>
        <v>0</v>
      </c>
    </row>
    <row r="62" spans="1:14" x14ac:dyDescent="0.2">
      <c r="A62" s="14" t="s">
        <v>494</v>
      </c>
      <c r="B62" s="14" t="s">
        <v>372</v>
      </c>
      <c r="C62" s="14" t="s">
        <v>545</v>
      </c>
      <c r="D62" s="14" t="s">
        <v>374</v>
      </c>
      <c r="E62" s="14" t="s">
        <v>546</v>
      </c>
      <c r="F62" s="14" t="s">
        <v>376</v>
      </c>
      <c r="G62" s="14" t="s">
        <v>547</v>
      </c>
      <c r="H62" s="14" t="s">
        <v>372</v>
      </c>
      <c r="I62" s="14" t="s">
        <v>543</v>
      </c>
      <c r="J62" s="14" t="s">
        <v>379</v>
      </c>
      <c r="K62" s="14">
        <v>2400</v>
      </c>
      <c r="L62" s="14" t="s">
        <v>97</v>
      </c>
      <c r="M62" s="4">
        <f t="shared" si="0"/>
        <v>24</v>
      </c>
      <c r="N62" s="4" t="b">
        <f t="shared" si="1"/>
        <v>0</v>
      </c>
    </row>
    <row r="63" spans="1:14" x14ac:dyDescent="0.2">
      <c r="A63" s="14" t="s">
        <v>495</v>
      </c>
      <c r="B63" s="14" t="s">
        <v>372</v>
      </c>
      <c r="C63" s="14" t="s">
        <v>545</v>
      </c>
      <c r="D63" s="14" t="s">
        <v>374</v>
      </c>
      <c r="E63" s="14" t="s">
        <v>546</v>
      </c>
      <c r="F63" s="14" t="s">
        <v>376</v>
      </c>
      <c r="G63" s="14" t="s">
        <v>547</v>
      </c>
      <c r="H63" s="14" t="s">
        <v>372</v>
      </c>
      <c r="I63" s="14" t="s">
        <v>543</v>
      </c>
      <c r="J63" s="14" t="s">
        <v>379</v>
      </c>
      <c r="K63" s="14">
        <v>2450</v>
      </c>
      <c r="L63" s="14" t="s">
        <v>97</v>
      </c>
      <c r="M63" s="4">
        <f t="shared" si="0"/>
        <v>24</v>
      </c>
      <c r="N63" s="4" t="b">
        <f t="shared" si="1"/>
        <v>0</v>
      </c>
    </row>
    <row r="64" spans="1:14" x14ac:dyDescent="0.2">
      <c r="A64" s="14" t="s">
        <v>496</v>
      </c>
      <c r="B64" s="14" t="s">
        <v>372</v>
      </c>
      <c r="C64" s="14" t="s">
        <v>545</v>
      </c>
      <c r="D64" s="14" t="s">
        <v>374</v>
      </c>
      <c r="E64" s="14" t="s">
        <v>546</v>
      </c>
      <c r="F64" s="14" t="s">
        <v>376</v>
      </c>
      <c r="G64" s="14" t="s">
        <v>547</v>
      </c>
      <c r="H64" s="14" t="s">
        <v>372</v>
      </c>
      <c r="I64" s="14" t="s">
        <v>543</v>
      </c>
      <c r="J64" s="14" t="s">
        <v>379</v>
      </c>
      <c r="K64" s="14">
        <v>2500</v>
      </c>
      <c r="L64" s="14" t="s">
        <v>97</v>
      </c>
      <c r="M64" s="4">
        <f t="shared" si="0"/>
        <v>24</v>
      </c>
      <c r="N64" s="4" t="b">
        <f t="shared" si="1"/>
        <v>0</v>
      </c>
    </row>
  </sheetData>
  <phoneticPr fontId="62" type="noConversion"/>
  <pageMargins left="0.7" right="0.7" top="0.75" bottom="0.75" header="0.3" footer="0.3"/>
</worksheet>
</file>

<file path=customUI/customUI14.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Props1.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2.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4.xml><?xml version="1.0" encoding="utf-8"?>
<ds:datastoreItem xmlns:ds="http://schemas.openxmlformats.org/officeDocument/2006/customXml" ds:itemID="{6C0DF2D6-B4AF-45CE-9F65-12B2E83F900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89bfb5dd-cfc5-4195-bbf0-64d3cf54b312"/>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49</vt:i4>
      </vt:variant>
    </vt:vector>
  </HeadingPairs>
  <TitlesOfParts>
    <vt:vector size="63" baseType="lpstr">
      <vt:lpstr>Cover</vt:lpstr>
      <vt:lpstr>Rev. History</vt:lpstr>
      <vt:lpstr>User Instructions</vt:lpstr>
      <vt:lpstr>DSI and MDP registers</vt:lpstr>
      <vt:lpstr>DSI PHY timing setting</vt:lpstr>
      <vt:lpstr>DSI PHY 2.0.0 timing setting</vt:lpstr>
      <vt:lpstr>DSI PHY 3.0.0 DPHY timing</vt:lpstr>
      <vt:lpstr>DSI PHY 4.0.0 DPHY timing</vt:lpstr>
      <vt:lpstr>SDM439 DPHY timing</vt:lpstr>
      <vt:lpstr>T_HS_RQST</vt:lpstr>
      <vt:lpstr>GTP_clocklanes</vt:lpstr>
      <vt:lpstr>GTP_datalanes</vt:lpstr>
      <vt:lpstr>PREPARE_clocklanes</vt:lpstr>
      <vt:lpstr>PREPARE_datalanes</vt:lpstr>
      <vt:lpstr>DATA_RATE</vt:lpstr>
      <vt:lpstr>DELTA</vt:lpstr>
      <vt:lpstr>gtp_extension_clklane</vt:lpstr>
      <vt:lpstr>gtp_extension_clklane_factor</vt:lpstr>
      <vt:lpstr>gtp_extension_datalane</vt:lpstr>
      <vt:lpstr>gtp_extension_datalanes_factor</vt:lpstr>
      <vt:lpstr>HSTX_POFF_TIME</vt:lpstr>
      <vt:lpstr>HSTX_TEN_DELAY</vt:lpstr>
      <vt:lpstr>hstxhstrail_datalanes</vt:lpstr>
      <vt:lpstr>hstxthsclkpost_clklane</vt:lpstr>
      <vt:lpstr>hstxthsexit_clklane</vt:lpstr>
      <vt:lpstr>hstxthsexit_datalanes</vt:lpstr>
      <vt:lpstr>hstxthsprpr_clklane</vt:lpstr>
      <vt:lpstr>hstxthsprpr_datalanes</vt:lpstr>
      <vt:lpstr>hstxthsrqst_clklane</vt:lpstr>
      <vt:lpstr>hstxthsrqst_datalanes</vt:lpstr>
      <vt:lpstr>hstxthstrail_clklane</vt:lpstr>
      <vt:lpstr>hstxthszero_clklane</vt:lpstr>
      <vt:lpstr>hstxthszero_datalanes</vt:lpstr>
      <vt:lpstr>LPRX_IO_DELAY_RISE</vt:lpstr>
      <vt:lpstr>LPTX_IO_FALL_DELAY</vt:lpstr>
      <vt:lpstr>LPTX_IO_RISE_FALL_DELTA</vt:lpstr>
      <vt:lpstr>PHI</vt:lpstr>
      <vt:lpstr>PHY_MAJOR_VERSION</vt:lpstr>
      <vt:lpstr>Cover!Print_Area</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T_CLK_POST</vt:lpstr>
      <vt:lpstr>T_CLK_TRAIL</vt:lpstr>
      <vt:lpstr>T_CLK_ZERO</vt:lpstr>
      <vt:lpstr>T_HS_EXIT</vt:lpstr>
      <vt:lpstr>T_HS_RQST</vt:lpstr>
      <vt:lpstr>T_HS_TRAIL</vt:lpstr>
      <vt:lpstr>T_HS_ZERO</vt:lpstr>
      <vt:lpstr>TLPX_EXT</vt:lpstr>
      <vt:lpstr>TLPX_SLAVE</vt:lpstr>
      <vt:lpstr>TLPX_SNPS</vt:lpstr>
      <vt:lpstr>ttago</vt:lpstr>
      <vt:lpstr>ttasure</vt:lpstr>
      <vt:lpstr>tx_byteclk_hs</vt:lpstr>
      <vt:lpstr>TXBYTECLKHS</vt:lpstr>
      <vt:lpstr>UI</vt:lpstr>
      <vt:lpstr>vRevisionDate</vt:lpstr>
      <vt:lpstr>WADDR_minus_RADDR</vt:lpstr>
      <vt:lpstr>Y_N</vt:lpstr>
    </vt:vector>
  </TitlesOfParts>
  <Company>Qualcomm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zening.han(韩泽宁)</cp:lastModifiedBy>
  <cp:lastPrinted>2016-08-10T15:17:21Z</cp:lastPrinted>
  <dcterms:created xsi:type="dcterms:W3CDTF">2009-08-29T21:51:38Z</dcterms:created>
  <dcterms:modified xsi:type="dcterms:W3CDTF">2018-12-29T12:27:59Z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